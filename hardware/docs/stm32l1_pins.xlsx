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showInkAnnotation="0" hidePivotFieldList="1" autoCompressPictures="0"/>
  <bookViews>
    <workbookView xWindow="-20" yWindow="0" windowWidth="25640" windowHeight="17540" tabRatio="500"/>
  </bookViews>
  <sheets>
    <sheet name="Pins" sheetId="5" r:id="rId1"/>
    <sheet name="BOM" sheetId="6" r:id="rId2"/>
  </sheets>
  <definedNames>
    <definedName name="_xlnm._FilterDatabase" localSheetId="0" hidden="1">Pins!$A$1:$K$101</definedName>
    <definedName name="stm32l1_pins_1" localSheetId="0">Pins!$A$1:$L$101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0" i="5" l="1"/>
</calcChain>
</file>

<file path=xl/connections.xml><?xml version="1.0" encoding="utf-8"?>
<connections xmlns="http://schemas.openxmlformats.org/spreadsheetml/2006/main">
  <connection id="1" name="stm32l1_pins.txt" type="6" refreshedVersion="0" background="1" saveData="1">
    <textPr fileType="mac" sourceFile="Macintosh HD:Users:user:projects:alti:hardware:stm32l1_pins.txt" tab="0" space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stm32l1_pins.txt1" type="6" refreshedVersion="0" background="1" saveData="1">
    <textPr fileType="mac" sourceFile="Macintosh HD:Users:user:projects:alti:hardware:stm32l1_pins.txt" tab="0" space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<sst xmlns="http://schemas.openxmlformats.org/spreadsheetml/2006/main" count="970" uniqueCount="423">
  <si>
    <t>Name</t>
  </si>
  <si>
    <t>Type</t>
  </si>
  <si>
    <t>S</t>
  </si>
  <si>
    <t>PC13</t>
  </si>
  <si>
    <t>PC14</t>
  </si>
  <si>
    <t>OSC32_IN</t>
  </si>
  <si>
    <t>OSC32_OUT</t>
  </si>
  <si>
    <t>PC15</t>
  </si>
  <si>
    <t>LQFP100</t>
  </si>
  <si>
    <t>LQFP64</t>
  </si>
  <si>
    <t>TFBGA64</t>
  </si>
  <si>
    <t>UFBGA100</t>
  </si>
  <si>
    <t>UFQFPN48</t>
  </si>
  <si>
    <t>Structure</t>
  </si>
  <si>
    <t>Function</t>
  </si>
  <si>
    <t>AltFunc</t>
  </si>
  <si>
    <t>AddtlFunc</t>
  </si>
  <si>
    <t>-</t>
  </si>
  <si>
    <t>B2</t>
  </si>
  <si>
    <t>PE2</t>
  </si>
  <si>
    <t>I/O</t>
  </si>
  <si>
    <t>FT</t>
  </si>
  <si>
    <t>TRACECLK/LCD_SEG38/TIM3_ETR</t>
  </si>
  <si>
    <t>A1</t>
  </si>
  <si>
    <t>PE3</t>
  </si>
  <si>
    <t>TRACED0/LCD_SEG39/TIM3_CH1</t>
  </si>
  <si>
    <t>B1</t>
  </si>
  <si>
    <t>PE4</t>
  </si>
  <si>
    <t>TRACED1/TIM3_CH2</t>
  </si>
  <si>
    <t>C2</t>
  </si>
  <si>
    <t>PE5</t>
  </si>
  <si>
    <t>TRACED2/TIM9_CH1</t>
  </si>
  <si>
    <t>D2</t>
  </si>
  <si>
    <t>PE6-WKUP3</t>
  </si>
  <si>
    <t>PE6</t>
  </si>
  <si>
    <t>TRACED3/TIM9_CH2</t>
  </si>
  <si>
    <t>WKUP3</t>
  </si>
  <si>
    <t>E2</t>
  </si>
  <si>
    <t>VLCD(3)</t>
  </si>
  <si>
    <t>VLCD</t>
  </si>
  <si>
    <t>A2</t>
  </si>
  <si>
    <t>C1</t>
  </si>
  <si>
    <t>RTC_TAMP1/RTC_TS/RTC_OUT/WKUP2</t>
  </si>
  <si>
    <t>D1</t>
  </si>
  <si>
    <t>TC</t>
  </si>
  <si>
    <t>E1</t>
  </si>
  <si>
    <t>F2</t>
  </si>
  <si>
    <t>VSS_5</t>
  </si>
  <si>
    <t>G2</t>
  </si>
  <si>
    <t>VDD_5</t>
  </si>
  <si>
    <t>F1</t>
  </si>
  <si>
    <t>PH0</t>
  </si>
  <si>
    <t>OSC_IN</t>
  </si>
  <si>
    <t>G1</t>
  </si>
  <si>
    <t>OSC_OUT</t>
  </si>
  <si>
    <t>PH1</t>
  </si>
  <si>
    <t>H2</t>
  </si>
  <si>
    <t>NRST</t>
  </si>
  <si>
    <t>RST</t>
  </si>
  <si>
    <t>E3</t>
  </si>
  <si>
    <t>H1</t>
  </si>
  <si>
    <t>PC0</t>
  </si>
  <si>
    <t>LCD_SEG18</t>
  </si>
  <si>
    <t>ADC_IN10//COMP1_INP</t>
  </si>
  <si>
    <t>J2</t>
  </si>
  <si>
    <t>PC1</t>
  </si>
  <si>
    <t>LCD_SEG19</t>
  </si>
  <si>
    <t>ADC_IN11/COMP1_INP</t>
  </si>
  <si>
    <t>J3</t>
  </si>
  <si>
    <t>PC2</t>
  </si>
  <si>
    <t>LCD_SEG20</t>
  </si>
  <si>
    <t>ADC_IN12/COMP1_INP</t>
  </si>
  <si>
    <t>K2</t>
  </si>
  <si>
    <t>PC3</t>
  </si>
  <si>
    <t>LCD_SEG21</t>
  </si>
  <si>
    <t>ADC_IN13/COMP1_INP</t>
  </si>
  <si>
    <t>J1</t>
  </si>
  <si>
    <t>VSSA</t>
  </si>
  <si>
    <t>K1</t>
  </si>
  <si>
    <t>VREF-</t>
  </si>
  <si>
    <t>L1</t>
  </si>
  <si>
    <t>VREF+</t>
  </si>
  <si>
    <t>M1</t>
  </si>
  <si>
    <t>VDDA</t>
  </si>
  <si>
    <t>L2</t>
  </si>
  <si>
    <t>PA0-WKUP1</t>
  </si>
  <si>
    <t>PA0</t>
  </si>
  <si>
    <t>USART2_CTS/TIM2_CH1_ETR</t>
  </si>
  <si>
    <t>WKUP1/ADC_IN0/COMP1_INP</t>
  </si>
  <si>
    <t>M2</t>
  </si>
  <si>
    <t>PA1</t>
  </si>
  <si>
    <t>USART2_RTS/TIM2_CH2/LCD_SEG0</t>
  </si>
  <si>
    <t>ADC_IN1/COMP1_INP</t>
  </si>
  <si>
    <t>F3</t>
  </si>
  <si>
    <t>K3</t>
  </si>
  <si>
    <t>PA2</t>
  </si>
  <si>
    <t>USART2_TX/TIM2_CH3/TIM9_CH1/LCD_SEG1</t>
  </si>
  <si>
    <t>ADC_IN2/COMP1_INP</t>
  </si>
  <si>
    <t>G3</t>
  </si>
  <si>
    <t>L3</t>
  </si>
  <si>
    <t>PA3</t>
  </si>
  <si>
    <t>USART2_RX/TIM2_CH4/TIM9_CH2/LCD_SEG2</t>
  </si>
  <si>
    <t>ADC_IN3/COMP1_INP</t>
  </si>
  <si>
    <t>VSS_4</t>
  </si>
  <si>
    <t>H3</t>
  </si>
  <si>
    <t>VDD_4</t>
  </si>
  <si>
    <t>M3</t>
  </si>
  <si>
    <t>PA4</t>
  </si>
  <si>
    <t>SPI1_NSS/USART2_CK</t>
  </si>
  <si>
    <t>ADC_IN4/DAC_OUT1/COMP1_INP</t>
  </si>
  <si>
    <t>F4</t>
  </si>
  <si>
    <t>K4</t>
  </si>
  <si>
    <t>PA5</t>
  </si>
  <si>
    <t>SPI1_SCK/TIM2_CH1_ETR</t>
  </si>
  <si>
    <t>ADC_IN5/DAC_OUT2/COMP1_INP</t>
  </si>
  <si>
    <t>G4</t>
  </si>
  <si>
    <t>L4</t>
  </si>
  <si>
    <t>PA6</t>
  </si>
  <si>
    <t>SPI1_MISO/TIM3_CH1/LCD_SEG3/TIM10_CH1</t>
  </si>
  <si>
    <t>H4</t>
  </si>
  <si>
    <t>M4</t>
  </si>
  <si>
    <t>PA7</t>
  </si>
  <si>
    <t>SPI1_MOSI//TIM3_CH2/LCD_SEG4/TIM11_CH1</t>
  </si>
  <si>
    <t>ADC_IN7/COMP1_INP</t>
  </si>
  <si>
    <t>H5</t>
  </si>
  <si>
    <t>K5</t>
  </si>
  <si>
    <t>PC4</t>
  </si>
  <si>
    <t>LCD_SEG22</t>
  </si>
  <si>
    <t>ADC_IN14/COMP1_INP</t>
  </si>
  <si>
    <t>H6</t>
  </si>
  <si>
    <t>L5</t>
  </si>
  <si>
    <t>PC5</t>
  </si>
  <si>
    <t>LCD_SEG23</t>
  </si>
  <si>
    <t>ADC_IN15/COMP1_INP</t>
  </si>
  <si>
    <t>F5</t>
  </si>
  <si>
    <t>M5</t>
  </si>
  <si>
    <t>PB0</t>
  </si>
  <si>
    <t>TIM3_CH3/LCD_SEG5</t>
  </si>
  <si>
    <t>ADC_IN8/COMP1_INP/VREF_OUT</t>
  </si>
  <si>
    <t>G5</t>
  </si>
  <si>
    <t>M6</t>
  </si>
  <si>
    <t>PB1</t>
  </si>
  <si>
    <t>TIM3_CH4/LCD_SEG6</t>
  </si>
  <si>
    <t>ADC_IN9/COMP1_INP/VREF_OUT</t>
  </si>
  <si>
    <t>G6</t>
  </si>
  <si>
    <t>L6</t>
  </si>
  <si>
    <t>PB2</t>
  </si>
  <si>
    <t>PB2/BOOT1</t>
  </si>
  <si>
    <t>BOOT1</t>
  </si>
  <si>
    <t>M7</t>
  </si>
  <si>
    <t>PE7</t>
  </si>
  <si>
    <t>ADC_IN22/COMP1_INP</t>
  </si>
  <si>
    <t>L7</t>
  </si>
  <si>
    <t>PE8</t>
  </si>
  <si>
    <t>ADC_IN23/COMP1_INP</t>
  </si>
  <si>
    <t>M8</t>
  </si>
  <si>
    <t>PE9</t>
  </si>
  <si>
    <t>TIM2_CH1_ETR</t>
  </si>
  <si>
    <t>ADC_IN24/COMP1_INP</t>
  </si>
  <si>
    <t>L8</t>
  </si>
  <si>
    <t>PE10</t>
  </si>
  <si>
    <t>TIM2_CH2</t>
  </si>
  <si>
    <t>ADC_IN25/COMP1_INP</t>
  </si>
  <si>
    <t>M9</t>
  </si>
  <si>
    <t>PE11</t>
  </si>
  <si>
    <t>TIM2_CH3</t>
  </si>
  <si>
    <t>L9</t>
  </si>
  <si>
    <t>PE12</t>
  </si>
  <si>
    <t>TIM2_CH4/SPI1_NSS</t>
  </si>
  <si>
    <t>M10</t>
  </si>
  <si>
    <t>PE13</t>
  </si>
  <si>
    <t>SPI1_SCK</t>
  </si>
  <si>
    <t>M11</t>
  </si>
  <si>
    <t>PE14</t>
  </si>
  <si>
    <t>SPI1_MISO</t>
  </si>
  <si>
    <t>M12</t>
  </si>
  <si>
    <t>PE15</t>
  </si>
  <si>
    <t>SPI1_MOSI</t>
  </si>
  <si>
    <t>G7</t>
  </si>
  <si>
    <t>L10</t>
  </si>
  <si>
    <t>PB10</t>
  </si>
  <si>
    <t>I2C2_SCL/USART3_TX/TIM2_CH3/LCD_SEG10</t>
  </si>
  <si>
    <t>H7</t>
  </si>
  <si>
    <t>L11</t>
  </si>
  <si>
    <t>PB11</t>
  </si>
  <si>
    <t>I2C2_SDA/USART3_RX/TIM2_CH4/LCD_SEG11</t>
  </si>
  <si>
    <t>D6</t>
  </si>
  <si>
    <t>F12</t>
  </si>
  <si>
    <t>VSS_1</t>
  </si>
  <si>
    <t>E6</t>
  </si>
  <si>
    <t>G12</t>
  </si>
  <si>
    <t>VDD_1</t>
  </si>
  <si>
    <t>H8</t>
  </si>
  <si>
    <t>L12</t>
  </si>
  <si>
    <t>PB12</t>
  </si>
  <si>
    <t>SPI2_NSS/I2C2_SMBA/USART3_CK/LCD_SEG12/TIM10_CH1</t>
  </si>
  <si>
    <t>ADC_IN18/COMP1_INP</t>
  </si>
  <si>
    <t>G8</t>
  </si>
  <si>
    <t>K12</t>
  </si>
  <si>
    <t>PB13</t>
  </si>
  <si>
    <t>SPI2_SCK/USART3_CTS/LCD_SEG13/TIM9_CH1</t>
  </si>
  <si>
    <t>ADC_IN19/COMP1_INP</t>
  </si>
  <si>
    <t>F8</t>
  </si>
  <si>
    <t>K11</t>
  </si>
  <si>
    <t>PB14</t>
  </si>
  <si>
    <t>SPI2_MISO/USART3_RTS/LCD_SEG14//TIM9_CH2</t>
  </si>
  <si>
    <t>ADC_IN20/COMP1_INP</t>
  </si>
  <si>
    <t>F7</t>
  </si>
  <si>
    <t>K10</t>
  </si>
  <si>
    <t>PB15</t>
  </si>
  <si>
    <t>SPI2_MOSI/LCD_SEG15/TIM11_CH1</t>
  </si>
  <si>
    <t>ADC_IN21/COMP1_INP/RTC_REFIN</t>
  </si>
  <si>
    <t>K9</t>
  </si>
  <si>
    <t>PD8</t>
  </si>
  <si>
    <t>USART3_TX/LCD_SEG28</t>
  </si>
  <si>
    <t>K8</t>
  </si>
  <si>
    <t>PD9</t>
  </si>
  <si>
    <t>USART3_RX/LCD_SEG29</t>
  </si>
  <si>
    <t>J12</t>
  </si>
  <si>
    <t>PD10</t>
  </si>
  <si>
    <t>USART3_CK/LCD_SEG30</t>
  </si>
  <si>
    <t>J11</t>
  </si>
  <si>
    <t>PD11</t>
  </si>
  <si>
    <t>USART3_CTS/LCD_SEG31</t>
  </si>
  <si>
    <t>J10</t>
  </si>
  <si>
    <t>PD12</t>
  </si>
  <si>
    <t>TIM4_CH1/USART3_RTS/LCD_SEG32</t>
  </si>
  <si>
    <t>H12</t>
  </si>
  <si>
    <t>PD13</t>
  </si>
  <si>
    <t>TIM4_CH2/LCD_SEG33</t>
  </si>
  <si>
    <t>H11</t>
  </si>
  <si>
    <t>PD14</t>
  </si>
  <si>
    <t>TIM4_CH3/LCD_SEG34</t>
  </si>
  <si>
    <t>H10</t>
  </si>
  <si>
    <t>PD15</t>
  </si>
  <si>
    <t>TIM4_CH4/LCD_SEG35</t>
  </si>
  <si>
    <t>F6</t>
  </si>
  <si>
    <t>E12</t>
  </si>
  <si>
    <t>PC6</t>
  </si>
  <si>
    <t>TIM3_CH1/LCD_SEG24</t>
  </si>
  <si>
    <t>E7</t>
  </si>
  <si>
    <t>E11</t>
  </si>
  <si>
    <t>PC7</t>
  </si>
  <si>
    <t>TIM3_CH2/LCD_SEG25</t>
  </si>
  <si>
    <t>E8</t>
  </si>
  <si>
    <t>E10</t>
  </si>
  <si>
    <t>PC8</t>
  </si>
  <si>
    <t>TIM3_CH3/LCD_SEG26</t>
  </si>
  <si>
    <t>D8</t>
  </si>
  <si>
    <t>D12</t>
  </si>
  <si>
    <t>PC9</t>
  </si>
  <si>
    <t>TIM3_CH4/LCD_SEG27</t>
  </si>
  <si>
    <t>D7</t>
  </si>
  <si>
    <t>D11</t>
  </si>
  <si>
    <t>PA8</t>
  </si>
  <si>
    <t>USART1_CK/MCO/LCD_COM0</t>
  </si>
  <si>
    <t>C7</t>
  </si>
  <si>
    <t>D10</t>
  </si>
  <si>
    <t>PA9</t>
  </si>
  <si>
    <t>USART1_TX/LCD_COM1</t>
  </si>
  <si>
    <t>C6</t>
  </si>
  <si>
    <t>C12</t>
  </si>
  <si>
    <t>PA10</t>
  </si>
  <si>
    <t>USART1_RX/LCD_COM2</t>
  </si>
  <si>
    <t>C8</t>
  </si>
  <si>
    <t>B12</t>
  </si>
  <si>
    <t>PA11</t>
  </si>
  <si>
    <t>B8</t>
  </si>
  <si>
    <t>A12</t>
  </si>
  <si>
    <t>PA12</t>
  </si>
  <si>
    <t>USART1_RTS/SPI1_MOSI</t>
  </si>
  <si>
    <t>USB_DP</t>
  </si>
  <si>
    <t>A8</t>
  </si>
  <si>
    <t>A11</t>
  </si>
  <si>
    <t>PA13</t>
  </si>
  <si>
    <t>JTMSSWDIO</t>
  </si>
  <si>
    <t>JTMS-SWDIO</t>
  </si>
  <si>
    <t>C11</t>
  </si>
  <si>
    <t>PH2</t>
  </si>
  <si>
    <t>D5</t>
  </si>
  <si>
    <t>F11</t>
  </si>
  <si>
    <t>VSS_2</t>
  </si>
  <si>
    <t>E5</t>
  </si>
  <si>
    <t>G11</t>
  </si>
  <si>
    <t>VDD_2</t>
  </si>
  <si>
    <t>A7</t>
  </si>
  <si>
    <t>A10</t>
  </si>
  <si>
    <t>PA14</t>
  </si>
  <si>
    <t>JTCK</t>
  </si>
  <si>
    <t>JTCK-SWCLK</t>
  </si>
  <si>
    <t>A6</t>
  </si>
  <si>
    <t>A9</t>
  </si>
  <si>
    <t>PA15</t>
  </si>
  <si>
    <t>JTDI</t>
  </si>
  <si>
    <t>TIM2_CH1_ETR/PA15/SPI1_NSS/LCD_SEG17</t>
  </si>
  <si>
    <t>B7</t>
  </si>
  <si>
    <t>B11</t>
  </si>
  <si>
    <t>PC10</t>
  </si>
  <si>
    <t>B6</t>
  </si>
  <si>
    <t>C10</t>
  </si>
  <si>
    <t>PC11</t>
  </si>
  <si>
    <t>C5</t>
  </si>
  <si>
    <t>B10</t>
  </si>
  <si>
    <t>PC12</t>
  </si>
  <si>
    <t>C9</t>
  </si>
  <si>
    <t>PD0</t>
  </si>
  <si>
    <t>SPI2_NSS/TIM9_CH1</t>
  </si>
  <si>
    <t>B9</t>
  </si>
  <si>
    <t>PD1</t>
  </si>
  <si>
    <t>SPI2_SCK</t>
  </si>
  <si>
    <t>B5</t>
  </si>
  <si>
    <t>PD2</t>
  </si>
  <si>
    <t>TIM3_ETR/LCD_SEG31/LCD_SEG43/LCD_COM7</t>
  </si>
  <si>
    <t>PD3</t>
  </si>
  <si>
    <t>USART2_CTS/SPI2_MISO</t>
  </si>
  <si>
    <t>PD4</t>
  </si>
  <si>
    <t>USART2_RTS/SPI2_MOSI</t>
  </si>
  <si>
    <t>PD5</t>
  </si>
  <si>
    <t>USART2_TX</t>
  </si>
  <si>
    <t>PD6</t>
  </si>
  <si>
    <t>USART2_RX</t>
  </si>
  <si>
    <t>A5</t>
  </si>
  <si>
    <t>PD7</t>
  </si>
  <si>
    <t>USART2_CK/TIM9_CH2</t>
  </si>
  <si>
    <t>PB3</t>
  </si>
  <si>
    <t>JTDO</t>
  </si>
  <si>
    <t>TIM2_CH2/PB3/SPI1_SCK/LCD_SEG7/JTDO</t>
  </si>
  <si>
    <t>COMP2_INM</t>
  </si>
  <si>
    <t>A4</t>
  </si>
  <si>
    <t>PB4</t>
  </si>
  <si>
    <t>NJTRST</t>
  </si>
  <si>
    <t>TIM3_CH1/PB4/SPI1_MISO/LCD_SEG8/NJTRST</t>
  </si>
  <si>
    <t>COMP2_INP</t>
  </si>
  <si>
    <t>C4</t>
  </si>
  <si>
    <t>PB5</t>
  </si>
  <si>
    <t>I2C1_SMBA/TIM3_CH2/SPI1_MOSI/LCD_SEG9</t>
  </si>
  <si>
    <t>D3</t>
  </si>
  <si>
    <t>PB6</t>
  </si>
  <si>
    <t>I2C1_SCL/TIM4_CH1/USART1_TX</t>
  </si>
  <si>
    <t>C3</t>
  </si>
  <si>
    <t>B4</t>
  </si>
  <si>
    <t>PB7</t>
  </si>
  <si>
    <t>I2C1_SDA/TIM4_CH2/USART1_RX</t>
  </si>
  <si>
    <t>PVD_IN</t>
  </si>
  <si>
    <t>BOOT0</t>
  </si>
  <si>
    <t>I</t>
  </si>
  <si>
    <t>B</t>
  </si>
  <si>
    <t>B3</t>
  </si>
  <si>
    <t>A3</t>
  </si>
  <si>
    <t>PB8</t>
  </si>
  <si>
    <t>TIM4_CH3/I2C1_SCL/LCD_SEG16/TIM10_CH1</t>
  </si>
  <si>
    <t>PB9</t>
  </si>
  <si>
    <t>TIM4_CH4/I2C1_SDA/LCD_COM3/TIM11_CH1</t>
  </si>
  <si>
    <t>PE0</t>
  </si>
  <si>
    <t>TIM4_ETR/LCD_SEG36/TIM10_CH1</t>
  </si>
  <si>
    <t>PE1</t>
  </si>
  <si>
    <t>LCD_SEG37/TIM11_CH1</t>
  </si>
  <si>
    <t>D4</t>
  </si>
  <si>
    <t>VSS_3</t>
  </si>
  <si>
    <t>E4</t>
  </si>
  <si>
    <t>VDD_3</t>
  </si>
  <si>
    <t>ADC_IN6/COMP1_INP</t>
  </si>
  <si>
    <t>USART3_TX/LCD_SEG28/LCD_SEG40/LCD_COM4</t>
  </si>
  <si>
    <t>USART3_RX/LCD_SEG29/LCD_SEG41/LCD_COM5</t>
  </si>
  <si>
    <t>USART3_CK/LCD_SEG30/LCD_SEG42/LCD_COM6</t>
  </si>
  <si>
    <t>PC13-WKUP2</t>
  </si>
  <si>
    <t>PC14-OSC32_IN(4)</t>
  </si>
  <si>
    <t>PC15-OSC32_OUT(4)</t>
  </si>
  <si>
    <t>PH0-OSC_IN(5)</t>
  </si>
  <si>
    <t>PH1-OSC_OUT</t>
  </si>
  <si>
    <t>Alti Assignment</t>
  </si>
  <si>
    <t>Target</t>
  </si>
  <si>
    <t>SWD</t>
  </si>
  <si>
    <t>GND</t>
  </si>
  <si>
    <t>+3V</t>
  </si>
  <si>
    <t>SWCLK</t>
  </si>
  <si>
    <t>-SWCLK</t>
  </si>
  <si>
    <t>USART1_CTS</t>
  </si>
  <si>
    <t>USB_DM</t>
  </si>
  <si>
    <t>USB_HEADER</t>
  </si>
  <si>
    <t>LSE</t>
  </si>
  <si>
    <t>HSE</t>
  </si>
  <si>
    <t>16MHz xtal</t>
  </si>
  <si>
    <t>32k xtal</t>
  </si>
  <si>
    <t>RESET</t>
  </si>
  <si>
    <t>Switch</t>
  </si>
  <si>
    <t>?????????</t>
  </si>
  <si>
    <t>nrf8001_RSET</t>
  </si>
  <si>
    <t>SPI2_MISO</t>
  </si>
  <si>
    <t>SPI2_MOSI</t>
  </si>
  <si>
    <t>nrf8001_enable</t>
  </si>
  <si>
    <t>nrf8001_SCK</t>
  </si>
  <si>
    <t>nrf8001_MISO</t>
  </si>
  <si>
    <t>nrf8001_MOSI</t>
  </si>
  <si>
    <t>nrf8001_REQN</t>
  </si>
  <si>
    <t>nrf8001_RDYN</t>
  </si>
  <si>
    <t>MS5611_SCK</t>
  </si>
  <si>
    <t>MS5611_MISO</t>
  </si>
  <si>
    <t>MS5611_MOSI</t>
  </si>
  <si>
    <t>ms5611_enable</t>
  </si>
  <si>
    <t>AT45DB321E_SCK</t>
  </si>
  <si>
    <t>AT45DB321E_MISO</t>
  </si>
  <si>
    <t>AT45DB321E_MOSI</t>
  </si>
  <si>
    <t>BOOT0 (tie to gnd or vcc)</t>
  </si>
  <si>
    <t>WARN LED select</t>
  </si>
  <si>
    <t>WARN LED enable</t>
  </si>
  <si>
    <t>STATUS LED</t>
  </si>
  <si>
    <t>NRF8001_Enable</t>
  </si>
  <si>
    <t>AT45DB321E_enable</t>
  </si>
  <si>
    <t>Mfgr Part #</t>
  </si>
  <si>
    <t>Price</t>
  </si>
  <si>
    <t>Description</t>
  </si>
  <si>
    <t>CDC</t>
  </si>
  <si>
    <t>Piezo Out</t>
  </si>
  <si>
    <t>Piezo Enable</t>
  </si>
  <si>
    <t>BMX055 M EN</t>
  </si>
  <si>
    <t>BMX055 A EN</t>
  </si>
  <si>
    <t>BMX055 G EN</t>
  </si>
  <si>
    <t>BMX055 SCK</t>
  </si>
  <si>
    <t>BMX055 MISO</t>
  </si>
  <si>
    <t>BMX055 MOSI</t>
  </si>
  <si>
    <t>BMX055 A Interrupt</t>
  </si>
  <si>
    <t>AT45DB321E_RESET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</si>
</sst>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3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 applyFill="1"/>
    <xf numFmtId="0" fontId="0" fillId="0" borderId="0" xfId="0" applyFill="1"/>
    <xf numFmtId="0" fontId="0" fillId="0" borderId="0" xfId="0" quotePrefix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4" fillId="0" borderId="0" xfId="0" applyFont="1"/>
  </cellXfs>
  <cellStyles count="3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connections" Target="connections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queryTables/queryTable1.xml><?xml version="1.0" encoding="utf-8"?>
<queryTable xmlns="http://schemas.openxmlformats.org/spreadsheetml/2006/main" name="stm32l1_pins_1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/>
  <dimension ref="A1:O116"/>
  <sheetViews>
    <sheetView tabSelected="1" topLeftCell="E31" workbookViewId="0">
      <selection activeCell="M26" sqref="M26"/>
    </sheetView>
  </sheetViews>
  <sheetFormatPr baseColWidth="10" defaultRowHeight="15" x14ac:dyDescent="0"/>
  <cols>
    <col min="1" max="1" width="15.1640625" hidden="1" customWidth="1"/>
    <col min="2" max="2" width="7.33203125" hidden="1" customWidth="1"/>
    <col min="3" max="3" width="8.6640625" hidden="1" customWidth="1"/>
    <col min="4" max="4" width="10" hidden="1" customWidth="1"/>
    <col min="5" max="5" width="10" bestFit="1" customWidth="1"/>
    <col min="6" max="6" width="18.1640625" bestFit="1" customWidth="1"/>
    <col min="7" max="7" width="5.1640625" bestFit="1" customWidth="1"/>
    <col min="8" max="8" width="7.33203125" customWidth="1"/>
    <col min="9" max="9" width="11.1640625" bestFit="1" customWidth="1"/>
    <col min="10" max="10" width="45.1640625" customWidth="1"/>
    <col min="11" max="11" width="33.5" bestFit="1" customWidth="1"/>
    <col min="12" max="12" width="5.5" customWidth="1"/>
    <col min="13" max="13" width="28.5" customWidth="1"/>
    <col min="14" max="14" width="17.6640625" customWidth="1"/>
    <col min="15" max="15" width="17.83203125" customWidth="1"/>
  </cols>
  <sheetData>
    <row r="1" spans="1:1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0</v>
      </c>
      <c r="G1" s="1" t="s">
        <v>1</v>
      </c>
      <c r="H1" s="1" t="s">
        <v>13</v>
      </c>
      <c r="I1" s="1" t="s">
        <v>14</v>
      </c>
      <c r="J1" s="1" t="s">
        <v>15</v>
      </c>
      <c r="K1" s="1" t="s">
        <v>16</v>
      </c>
      <c r="M1" s="6" t="s">
        <v>370</v>
      </c>
      <c r="N1" s="6" t="s">
        <v>371</v>
      </c>
    </row>
    <row r="2" spans="1:15">
      <c r="A2">
        <v>6</v>
      </c>
      <c r="B2">
        <v>1</v>
      </c>
      <c r="C2" t="s">
        <v>18</v>
      </c>
      <c r="D2" t="s">
        <v>37</v>
      </c>
      <c r="E2" s="3">
        <v>1</v>
      </c>
      <c r="F2" s="3" t="s">
        <v>38</v>
      </c>
      <c r="G2" s="3" t="s">
        <v>2</v>
      </c>
      <c r="H2" s="3" t="s">
        <v>39</v>
      </c>
      <c r="I2" s="3" t="s">
        <v>17</v>
      </c>
      <c r="J2" s="3" t="s">
        <v>17</v>
      </c>
      <c r="K2" s="3"/>
      <c r="M2" s="7" t="s">
        <v>386</v>
      </c>
      <c r="N2" s="7"/>
      <c r="O2" s="7"/>
    </row>
    <row r="3" spans="1:15">
      <c r="A3">
        <v>7</v>
      </c>
      <c r="B3">
        <v>2</v>
      </c>
      <c r="C3" t="s">
        <v>40</v>
      </c>
      <c r="D3" t="s">
        <v>41</v>
      </c>
      <c r="E3" s="3">
        <v>2</v>
      </c>
      <c r="F3" s="3" t="s">
        <v>365</v>
      </c>
      <c r="G3" s="3" t="s">
        <v>20</v>
      </c>
      <c r="H3" s="3" t="s">
        <v>21</v>
      </c>
      <c r="I3" s="3" t="s">
        <v>3</v>
      </c>
      <c r="J3" s="3" t="s">
        <v>17</v>
      </c>
      <c r="K3" s="3" t="s">
        <v>42</v>
      </c>
      <c r="M3" s="7"/>
      <c r="N3" s="7"/>
      <c r="O3" s="7"/>
    </row>
    <row r="4" spans="1:15">
      <c r="A4">
        <v>8</v>
      </c>
      <c r="B4">
        <v>3</v>
      </c>
      <c r="C4" t="s">
        <v>23</v>
      </c>
      <c r="D4" t="s">
        <v>43</v>
      </c>
      <c r="E4" s="3">
        <v>3</v>
      </c>
      <c r="F4" s="3" t="s">
        <v>366</v>
      </c>
      <c r="G4" s="3" t="s">
        <v>20</v>
      </c>
      <c r="H4" s="3" t="s">
        <v>44</v>
      </c>
      <c r="I4" s="3" t="s">
        <v>4</v>
      </c>
      <c r="J4" s="3" t="s">
        <v>17</v>
      </c>
      <c r="K4" s="3" t="s">
        <v>5</v>
      </c>
      <c r="M4" s="7" t="s">
        <v>381</v>
      </c>
      <c r="N4" s="7" t="s">
        <v>382</v>
      </c>
      <c r="O4" s="7"/>
    </row>
    <row r="5" spans="1:15">
      <c r="A5">
        <v>9</v>
      </c>
      <c r="B5">
        <v>4</v>
      </c>
      <c r="C5" t="s">
        <v>26</v>
      </c>
      <c r="D5" t="s">
        <v>45</v>
      </c>
      <c r="E5" s="3">
        <v>4</v>
      </c>
      <c r="F5" s="3" t="s">
        <v>367</v>
      </c>
      <c r="G5" s="3" t="s">
        <v>20</v>
      </c>
      <c r="H5" s="3" t="s">
        <v>44</v>
      </c>
      <c r="I5" s="3" t="s">
        <v>7</v>
      </c>
      <c r="J5" s="3" t="s">
        <v>17</v>
      </c>
      <c r="K5" s="3" t="s">
        <v>6</v>
      </c>
      <c r="M5" s="7" t="s">
        <v>381</v>
      </c>
      <c r="N5" s="7" t="s">
        <v>382</v>
      </c>
      <c r="O5" s="7"/>
    </row>
    <row r="6" spans="1:15">
      <c r="A6">
        <v>12</v>
      </c>
      <c r="B6">
        <v>5</v>
      </c>
      <c r="C6" t="s">
        <v>41</v>
      </c>
      <c r="D6" t="s">
        <v>50</v>
      </c>
      <c r="E6" s="3">
        <v>5</v>
      </c>
      <c r="F6" s="3" t="s">
        <v>368</v>
      </c>
      <c r="G6" s="3" t="s">
        <v>20</v>
      </c>
      <c r="H6" s="3" t="s">
        <v>44</v>
      </c>
      <c r="I6" s="3" t="s">
        <v>51</v>
      </c>
      <c r="J6" s="3" t="s">
        <v>17</v>
      </c>
      <c r="K6" s="3" t="s">
        <v>52</v>
      </c>
      <c r="M6" s="7" t="s">
        <v>380</v>
      </c>
      <c r="N6" s="7" t="s">
        <v>383</v>
      </c>
      <c r="O6" s="7"/>
    </row>
    <row r="7" spans="1:15">
      <c r="A7">
        <v>13</v>
      </c>
      <c r="B7">
        <v>6</v>
      </c>
      <c r="C7" t="s">
        <v>43</v>
      </c>
      <c r="D7" t="s">
        <v>53</v>
      </c>
      <c r="E7" s="3">
        <v>6</v>
      </c>
      <c r="F7" s="3" t="s">
        <v>369</v>
      </c>
      <c r="G7" s="3" t="s">
        <v>20</v>
      </c>
      <c r="H7" s="3" t="s">
        <v>44</v>
      </c>
      <c r="I7" s="3" t="s">
        <v>55</v>
      </c>
      <c r="J7" s="3" t="s">
        <v>17</v>
      </c>
      <c r="K7" s="3" t="s">
        <v>54</v>
      </c>
      <c r="M7" s="7" t="s">
        <v>380</v>
      </c>
      <c r="N7" s="7" t="s">
        <v>383</v>
      </c>
      <c r="O7" s="7"/>
    </row>
    <row r="8" spans="1:15">
      <c r="A8">
        <v>14</v>
      </c>
      <c r="B8">
        <v>7</v>
      </c>
      <c r="C8" t="s">
        <v>45</v>
      </c>
      <c r="D8" t="s">
        <v>56</v>
      </c>
      <c r="E8" s="3">
        <v>7</v>
      </c>
      <c r="F8" s="3" t="s">
        <v>57</v>
      </c>
      <c r="G8" s="3" t="s">
        <v>20</v>
      </c>
      <c r="H8" s="3" t="s">
        <v>58</v>
      </c>
      <c r="I8" s="3" t="s">
        <v>57</v>
      </c>
      <c r="J8" s="3" t="s">
        <v>17</v>
      </c>
      <c r="K8" s="3" t="s">
        <v>17</v>
      </c>
      <c r="M8" s="7" t="s">
        <v>384</v>
      </c>
      <c r="N8" s="7" t="s">
        <v>385</v>
      </c>
      <c r="O8" s="7" t="s">
        <v>412</v>
      </c>
    </row>
    <row r="9" spans="1:15">
      <c r="A9">
        <v>19</v>
      </c>
      <c r="B9">
        <v>12</v>
      </c>
      <c r="C9" t="s">
        <v>50</v>
      </c>
      <c r="D9" t="s">
        <v>76</v>
      </c>
      <c r="E9" s="3">
        <v>8</v>
      </c>
      <c r="F9" s="3" t="s">
        <v>77</v>
      </c>
      <c r="G9" s="3" t="s">
        <v>2</v>
      </c>
      <c r="H9" s="3" t="s">
        <v>17</v>
      </c>
      <c r="I9" s="3" t="s">
        <v>77</v>
      </c>
      <c r="J9" s="3" t="s">
        <v>17</v>
      </c>
      <c r="K9" s="3" t="s">
        <v>17</v>
      </c>
      <c r="M9" s="7" t="s">
        <v>373</v>
      </c>
      <c r="N9" s="7"/>
      <c r="O9" s="7"/>
    </row>
    <row r="10" spans="1:15">
      <c r="A10">
        <v>22</v>
      </c>
      <c r="B10">
        <v>13</v>
      </c>
      <c r="C10" t="s">
        <v>60</v>
      </c>
      <c r="D10" t="s">
        <v>82</v>
      </c>
      <c r="E10" s="3">
        <v>9</v>
      </c>
      <c r="F10" s="3" t="s">
        <v>83</v>
      </c>
      <c r="G10" s="3" t="s">
        <v>2</v>
      </c>
      <c r="H10" s="3" t="s">
        <v>17</v>
      </c>
      <c r="I10" s="3" t="s">
        <v>83</v>
      </c>
      <c r="J10" s="3" t="s">
        <v>17</v>
      </c>
      <c r="K10" s="3" t="s">
        <v>17</v>
      </c>
      <c r="M10" s="8" t="s">
        <v>374</v>
      </c>
      <c r="N10" s="7"/>
      <c r="O10" s="7"/>
    </row>
    <row r="11" spans="1:15">
      <c r="A11">
        <v>23</v>
      </c>
      <c r="B11">
        <v>14</v>
      </c>
      <c r="C11" t="s">
        <v>48</v>
      </c>
      <c r="D11" t="s">
        <v>84</v>
      </c>
      <c r="E11" s="3">
        <v>10</v>
      </c>
      <c r="F11" s="3" t="s">
        <v>85</v>
      </c>
      <c r="G11" s="3" t="s">
        <v>20</v>
      </c>
      <c r="H11" s="3" t="s">
        <v>21</v>
      </c>
      <c r="I11" s="3" t="s">
        <v>86</v>
      </c>
      <c r="J11" s="3" t="s">
        <v>87</v>
      </c>
      <c r="K11" s="3" t="s">
        <v>88</v>
      </c>
      <c r="N11" s="7"/>
      <c r="O11" s="12" t="s">
        <v>422</v>
      </c>
    </row>
    <row r="12" spans="1:15">
      <c r="A12">
        <v>24</v>
      </c>
      <c r="B12">
        <v>15</v>
      </c>
      <c r="C12" t="s">
        <v>56</v>
      </c>
      <c r="D12" t="s">
        <v>89</v>
      </c>
      <c r="E12" s="3">
        <v>11</v>
      </c>
      <c r="F12" s="3" t="s">
        <v>90</v>
      </c>
      <c r="G12" s="3" t="s">
        <v>20</v>
      </c>
      <c r="H12" s="3" t="s">
        <v>21</v>
      </c>
      <c r="I12" s="3" t="s">
        <v>90</v>
      </c>
      <c r="J12" s="3" t="s">
        <v>91</v>
      </c>
      <c r="K12" s="3" t="s">
        <v>92</v>
      </c>
      <c r="N12" s="7"/>
      <c r="O12" s="12" t="s">
        <v>408</v>
      </c>
    </row>
    <row r="13" spans="1:15">
      <c r="A13">
        <v>25</v>
      </c>
      <c r="B13">
        <v>16</v>
      </c>
      <c r="C13" t="s">
        <v>93</v>
      </c>
      <c r="D13" t="s">
        <v>94</v>
      </c>
      <c r="E13" s="3">
        <v>12</v>
      </c>
      <c r="F13" s="3" t="s">
        <v>95</v>
      </c>
      <c r="G13" s="3" t="s">
        <v>20</v>
      </c>
      <c r="H13" s="3" t="s">
        <v>21</v>
      </c>
      <c r="I13" s="3" t="s">
        <v>95</v>
      </c>
      <c r="J13" s="3" t="s">
        <v>96</v>
      </c>
      <c r="K13" s="3" t="s">
        <v>97</v>
      </c>
      <c r="M13" s="7"/>
      <c r="N13" s="9" t="s">
        <v>387</v>
      </c>
      <c r="O13" s="7"/>
    </row>
    <row r="14" spans="1:15">
      <c r="A14">
        <v>26</v>
      </c>
      <c r="B14">
        <v>17</v>
      </c>
      <c r="C14" t="s">
        <v>98</v>
      </c>
      <c r="D14" t="s">
        <v>99</v>
      </c>
      <c r="E14" s="4">
        <v>13</v>
      </c>
      <c r="F14" s="4" t="s">
        <v>100</v>
      </c>
      <c r="G14" s="4" t="s">
        <v>20</v>
      </c>
      <c r="H14" s="4" t="s">
        <v>44</v>
      </c>
      <c r="I14" s="4" t="s">
        <v>100</v>
      </c>
      <c r="J14" s="4" t="s">
        <v>101</v>
      </c>
      <c r="K14" s="4" t="s">
        <v>102</v>
      </c>
      <c r="M14" s="7"/>
      <c r="N14" s="9" t="s">
        <v>395</v>
      </c>
      <c r="O14" s="7"/>
    </row>
    <row r="15" spans="1:15">
      <c r="A15">
        <v>29</v>
      </c>
      <c r="B15">
        <v>20</v>
      </c>
      <c r="C15" t="s">
        <v>104</v>
      </c>
      <c r="D15" t="s">
        <v>106</v>
      </c>
      <c r="E15" s="4">
        <v>14</v>
      </c>
      <c r="F15" s="4" t="s">
        <v>107</v>
      </c>
      <c r="G15" s="4" t="s">
        <v>20</v>
      </c>
      <c r="H15" s="4" t="s">
        <v>44</v>
      </c>
      <c r="I15" s="4" t="s">
        <v>107</v>
      </c>
      <c r="J15" s="4" t="s">
        <v>108</v>
      </c>
      <c r="K15" s="4" t="s">
        <v>109</v>
      </c>
      <c r="M15" s="7"/>
      <c r="N15" s="9" t="s">
        <v>394</v>
      </c>
      <c r="O15" s="7"/>
    </row>
    <row r="16" spans="1:15">
      <c r="A16">
        <v>30</v>
      </c>
      <c r="B16">
        <v>21</v>
      </c>
      <c r="C16" t="s">
        <v>110</v>
      </c>
      <c r="D16" t="s">
        <v>111</v>
      </c>
      <c r="E16" s="4">
        <v>15</v>
      </c>
      <c r="F16" s="4" t="s">
        <v>112</v>
      </c>
      <c r="G16" s="4" t="s">
        <v>20</v>
      </c>
      <c r="H16" s="4" t="s">
        <v>44</v>
      </c>
      <c r="I16" s="4" t="s">
        <v>112</v>
      </c>
      <c r="J16" s="4" t="s">
        <v>113</v>
      </c>
      <c r="K16" s="4" t="s">
        <v>114</v>
      </c>
      <c r="M16" s="7" t="s">
        <v>171</v>
      </c>
      <c r="N16" s="9" t="s">
        <v>391</v>
      </c>
      <c r="O16" s="5" t="s">
        <v>400</v>
      </c>
    </row>
    <row r="17" spans="1:15">
      <c r="A17">
        <v>31</v>
      </c>
      <c r="B17">
        <v>22</v>
      </c>
      <c r="C17" t="s">
        <v>115</v>
      </c>
      <c r="D17" t="s">
        <v>116</v>
      </c>
      <c r="E17" s="4">
        <v>16</v>
      </c>
      <c r="F17" s="4" t="s">
        <v>117</v>
      </c>
      <c r="G17" s="4" t="s">
        <v>20</v>
      </c>
      <c r="H17" s="4" t="s">
        <v>21</v>
      </c>
      <c r="I17" s="4" t="s">
        <v>117</v>
      </c>
      <c r="J17" s="4" t="s">
        <v>118</v>
      </c>
      <c r="K17" s="4" t="s">
        <v>361</v>
      </c>
      <c r="M17" s="7" t="s">
        <v>174</v>
      </c>
      <c r="N17" s="9" t="s">
        <v>392</v>
      </c>
      <c r="O17" s="5" t="s">
        <v>401</v>
      </c>
    </row>
    <row r="18" spans="1:15">
      <c r="A18">
        <v>32</v>
      </c>
      <c r="B18">
        <v>23</v>
      </c>
      <c r="C18" t="s">
        <v>119</v>
      </c>
      <c r="D18" t="s">
        <v>120</v>
      </c>
      <c r="E18" s="4">
        <v>17</v>
      </c>
      <c r="F18" s="4" t="s">
        <v>121</v>
      </c>
      <c r="G18" s="4" t="s">
        <v>20</v>
      </c>
      <c r="H18" s="4" t="s">
        <v>21</v>
      </c>
      <c r="I18" s="4" t="s">
        <v>121</v>
      </c>
      <c r="J18" s="4" t="s">
        <v>122</v>
      </c>
      <c r="K18" s="4" t="s">
        <v>123</v>
      </c>
      <c r="M18" s="7" t="s">
        <v>177</v>
      </c>
      <c r="N18" s="9" t="s">
        <v>393</v>
      </c>
      <c r="O18" s="5" t="s">
        <v>402</v>
      </c>
    </row>
    <row r="19" spans="1:15">
      <c r="A19">
        <v>35</v>
      </c>
      <c r="B19">
        <v>26</v>
      </c>
      <c r="C19" t="s">
        <v>134</v>
      </c>
      <c r="D19" t="s">
        <v>135</v>
      </c>
      <c r="E19" s="4">
        <v>18</v>
      </c>
      <c r="F19" s="4" t="s">
        <v>136</v>
      </c>
      <c r="G19" s="4" t="s">
        <v>20</v>
      </c>
      <c r="H19" s="4" t="s">
        <v>44</v>
      </c>
      <c r="I19" s="4" t="s">
        <v>136</v>
      </c>
      <c r="J19" s="4" t="s">
        <v>137</v>
      </c>
      <c r="K19" s="4" t="s">
        <v>138</v>
      </c>
      <c r="M19" s="7"/>
      <c r="O19" s="7"/>
    </row>
    <row r="20" spans="1:15">
      <c r="A20">
        <v>36</v>
      </c>
      <c r="B20">
        <v>27</v>
      </c>
      <c r="C20" t="s">
        <v>139</v>
      </c>
      <c r="D20" t="s">
        <v>140</v>
      </c>
      <c r="E20" s="4">
        <v>19</v>
      </c>
      <c r="F20" s="4" t="s">
        <v>141</v>
      </c>
      <c r="G20" s="4" t="s">
        <v>20</v>
      </c>
      <c r="H20" s="4" t="s">
        <v>21</v>
      </c>
      <c r="I20" s="4" t="s">
        <v>141</v>
      </c>
      <c r="J20" s="4" t="s">
        <v>142</v>
      </c>
      <c r="K20" s="4" t="s">
        <v>143</v>
      </c>
      <c r="M20" s="7"/>
      <c r="O20" s="7"/>
    </row>
    <row r="21" spans="1:15">
      <c r="A21">
        <v>37</v>
      </c>
      <c r="B21">
        <v>28</v>
      </c>
      <c r="C21" t="s">
        <v>144</v>
      </c>
      <c r="D21" t="s">
        <v>145</v>
      </c>
      <c r="E21" s="4">
        <v>20</v>
      </c>
      <c r="F21" s="4" t="s">
        <v>146</v>
      </c>
      <c r="G21" s="4" t="s">
        <v>20</v>
      </c>
      <c r="H21" s="4" t="s">
        <v>21</v>
      </c>
      <c r="I21" s="4" t="s">
        <v>147</v>
      </c>
      <c r="J21" s="4" t="s">
        <v>148</v>
      </c>
      <c r="K21" s="4" t="s">
        <v>17</v>
      </c>
      <c r="M21" s="7"/>
      <c r="O21" s="7"/>
    </row>
    <row r="22" spans="1:15">
      <c r="A22">
        <v>47</v>
      </c>
      <c r="B22">
        <v>29</v>
      </c>
      <c r="C22" t="s">
        <v>178</v>
      </c>
      <c r="D22" t="s">
        <v>179</v>
      </c>
      <c r="E22" s="4">
        <v>21</v>
      </c>
      <c r="F22" s="4" t="s">
        <v>180</v>
      </c>
      <c r="G22" s="4" t="s">
        <v>20</v>
      </c>
      <c r="H22" s="4" t="s">
        <v>21</v>
      </c>
      <c r="I22" s="4" t="s">
        <v>180</v>
      </c>
      <c r="J22" s="4" t="s">
        <v>181</v>
      </c>
      <c r="K22" s="4" t="s">
        <v>17</v>
      </c>
      <c r="M22" s="7" t="s">
        <v>407</v>
      </c>
      <c r="N22" s="9" t="s">
        <v>390</v>
      </c>
      <c r="O22" s="7"/>
    </row>
    <row r="23" spans="1:15">
      <c r="A23">
        <v>48</v>
      </c>
      <c r="B23">
        <v>30</v>
      </c>
      <c r="C23" t="s">
        <v>182</v>
      </c>
      <c r="D23" t="s">
        <v>183</v>
      </c>
      <c r="E23" s="4">
        <v>22</v>
      </c>
      <c r="F23" s="4" t="s">
        <v>184</v>
      </c>
      <c r="G23" s="4" t="s">
        <v>20</v>
      </c>
      <c r="H23" s="4" t="s">
        <v>21</v>
      </c>
      <c r="I23" s="4" t="s">
        <v>184</v>
      </c>
      <c r="J23" s="4" t="s">
        <v>185</v>
      </c>
      <c r="K23" s="4" t="s">
        <v>17</v>
      </c>
      <c r="M23" s="7" t="s">
        <v>399</v>
      </c>
    </row>
    <row r="24" spans="1:15">
      <c r="A24">
        <v>49</v>
      </c>
      <c r="B24">
        <v>31</v>
      </c>
      <c r="C24" t="s">
        <v>186</v>
      </c>
      <c r="D24" t="s">
        <v>187</v>
      </c>
      <c r="E24" s="4">
        <v>23</v>
      </c>
      <c r="F24" s="4" t="s">
        <v>188</v>
      </c>
      <c r="G24" s="4" t="s">
        <v>2</v>
      </c>
      <c r="H24" s="4" t="s">
        <v>17</v>
      </c>
      <c r="I24" s="4" t="s">
        <v>188</v>
      </c>
      <c r="J24" s="4" t="s">
        <v>17</v>
      </c>
      <c r="K24" s="4" t="s">
        <v>17</v>
      </c>
      <c r="M24" s="7" t="s">
        <v>373</v>
      </c>
      <c r="N24" s="7"/>
      <c r="O24" s="7"/>
    </row>
    <row r="25" spans="1:15">
      <c r="A25">
        <v>50</v>
      </c>
      <c r="B25">
        <v>32</v>
      </c>
      <c r="C25" t="s">
        <v>189</v>
      </c>
      <c r="D25" t="s">
        <v>190</v>
      </c>
      <c r="E25" s="4">
        <v>24</v>
      </c>
      <c r="F25" s="4" t="s">
        <v>191</v>
      </c>
      <c r="G25" s="4" t="s">
        <v>2</v>
      </c>
      <c r="H25" s="4" t="s">
        <v>17</v>
      </c>
      <c r="I25" s="4" t="s">
        <v>191</v>
      </c>
      <c r="J25" s="4" t="s">
        <v>17</v>
      </c>
      <c r="K25" s="4" t="s">
        <v>17</v>
      </c>
      <c r="M25" s="8" t="s">
        <v>374</v>
      </c>
      <c r="N25" s="7"/>
      <c r="O25" s="7"/>
    </row>
    <row r="26" spans="1:15">
      <c r="A26">
        <v>51</v>
      </c>
      <c r="B26">
        <v>33</v>
      </c>
      <c r="C26" t="s">
        <v>192</v>
      </c>
      <c r="D26" t="s">
        <v>193</v>
      </c>
      <c r="E26" s="5">
        <v>25</v>
      </c>
      <c r="F26" s="5" t="s">
        <v>194</v>
      </c>
      <c r="G26" s="5" t="s">
        <v>20</v>
      </c>
      <c r="H26" s="5" t="s">
        <v>21</v>
      </c>
      <c r="I26" s="5" t="s">
        <v>194</v>
      </c>
      <c r="J26" s="5" t="s">
        <v>195</v>
      </c>
      <c r="K26" s="5" t="s">
        <v>196</v>
      </c>
      <c r="M26" s="13" t="s">
        <v>399</v>
      </c>
      <c r="N26" s="10" t="s">
        <v>399</v>
      </c>
    </row>
    <row r="27" spans="1:15">
      <c r="A27">
        <v>52</v>
      </c>
      <c r="B27">
        <v>34</v>
      </c>
      <c r="C27" t="s">
        <v>197</v>
      </c>
      <c r="D27" t="s">
        <v>198</v>
      </c>
      <c r="E27" s="5">
        <v>26</v>
      </c>
      <c r="F27" s="5" t="s">
        <v>199</v>
      </c>
      <c r="G27" s="5" t="s">
        <v>20</v>
      </c>
      <c r="H27" s="5" t="s">
        <v>21</v>
      </c>
      <c r="I27" s="5" t="s">
        <v>199</v>
      </c>
      <c r="J27" s="5" t="s">
        <v>200</v>
      </c>
      <c r="K27" s="5" t="s">
        <v>201</v>
      </c>
      <c r="M27" s="7" t="s">
        <v>309</v>
      </c>
      <c r="N27" s="11" t="s">
        <v>418</v>
      </c>
      <c r="O27" s="10" t="s">
        <v>396</v>
      </c>
    </row>
    <row r="28" spans="1:15">
      <c r="A28">
        <v>53</v>
      </c>
      <c r="B28">
        <v>35</v>
      </c>
      <c r="C28" t="s">
        <v>202</v>
      </c>
      <c r="D28" t="s">
        <v>203</v>
      </c>
      <c r="E28" s="5">
        <v>27</v>
      </c>
      <c r="F28" s="5" t="s">
        <v>204</v>
      </c>
      <c r="G28" s="5" t="s">
        <v>20</v>
      </c>
      <c r="H28" s="5" t="s">
        <v>21</v>
      </c>
      <c r="I28" s="5" t="s">
        <v>204</v>
      </c>
      <c r="J28" s="5" t="s">
        <v>205</v>
      </c>
      <c r="K28" s="5" t="s">
        <v>206</v>
      </c>
      <c r="M28" s="7" t="s">
        <v>388</v>
      </c>
      <c r="N28" s="11" t="s">
        <v>419</v>
      </c>
      <c r="O28" s="10" t="s">
        <v>397</v>
      </c>
    </row>
    <row r="29" spans="1:15">
      <c r="A29">
        <v>54</v>
      </c>
      <c r="B29">
        <v>36</v>
      </c>
      <c r="C29" t="s">
        <v>207</v>
      </c>
      <c r="D29" t="s">
        <v>208</v>
      </c>
      <c r="E29" s="5">
        <v>28</v>
      </c>
      <c r="F29" s="5" t="s">
        <v>209</v>
      </c>
      <c r="G29" s="5" t="s">
        <v>20</v>
      </c>
      <c r="H29" s="5" t="s">
        <v>21</v>
      </c>
      <c r="I29" s="5" t="s">
        <v>209</v>
      </c>
      <c r="J29" s="5" t="s">
        <v>210</v>
      </c>
      <c r="K29" s="5" t="s">
        <v>211</v>
      </c>
      <c r="M29" s="7" t="s">
        <v>389</v>
      </c>
      <c r="N29" s="11" t="s">
        <v>420</v>
      </c>
      <c r="O29" s="10" t="s">
        <v>398</v>
      </c>
    </row>
    <row r="30" spans="1:15">
      <c r="A30">
        <v>67</v>
      </c>
      <c r="B30">
        <v>41</v>
      </c>
      <c r="C30" t="s">
        <v>252</v>
      </c>
      <c r="D30" t="s">
        <v>253</v>
      </c>
      <c r="E30" s="5">
        <v>29</v>
      </c>
      <c r="F30" s="5" t="s">
        <v>254</v>
      </c>
      <c r="G30" s="5" t="s">
        <v>20</v>
      </c>
      <c r="H30" s="5" t="s">
        <v>21</v>
      </c>
      <c r="I30" s="5" t="s">
        <v>254</v>
      </c>
      <c r="J30" s="5" t="s">
        <v>255</v>
      </c>
      <c r="K30" s="5" t="s">
        <v>17</v>
      </c>
      <c r="M30" s="7"/>
      <c r="N30" s="11" t="s">
        <v>415</v>
      </c>
      <c r="O30" s="7"/>
    </row>
    <row r="31" spans="1:15">
      <c r="A31">
        <v>68</v>
      </c>
      <c r="B31">
        <v>42</v>
      </c>
      <c r="C31" t="s">
        <v>256</v>
      </c>
      <c r="D31" t="s">
        <v>257</v>
      </c>
      <c r="E31" s="5">
        <v>30</v>
      </c>
      <c r="F31" s="5" t="s">
        <v>258</v>
      </c>
      <c r="G31" s="5" t="s">
        <v>20</v>
      </c>
      <c r="H31" s="5" t="s">
        <v>21</v>
      </c>
      <c r="I31" s="5" t="s">
        <v>258</v>
      </c>
      <c r="J31" s="5" t="s">
        <v>259</v>
      </c>
      <c r="K31" s="5" t="s">
        <v>17</v>
      </c>
      <c r="M31" s="7"/>
      <c r="N31" s="11" t="s">
        <v>416</v>
      </c>
      <c r="O31" s="7"/>
    </row>
    <row r="32" spans="1:15">
      <c r="A32">
        <v>69</v>
      </c>
      <c r="B32">
        <v>43</v>
      </c>
      <c r="C32" t="s">
        <v>260</v>
      </c>
      <c r="D32" t="s">
        <v>261</v>
      </c>
      <c r="E32" s="5">
        <v>31</v>
      </c>
      <c r="F32" s="5" t="s">
        <v>262</v>
      </c>
      <c r="G32" s="5" t="s">
        <v>20</v>
      </c>
      <c r="H32" s="5" t="s">
        <v>21</v>
      </c>
      <c r="I32" s="5" t="s">
        <v>262</v>
      </c>
      <c r="J32" s="5" t="s">
        <v>263</v>
      </c>
      <c r="K32" s="5" t="s">
        <v>17</v>
      </c>
      <c r="M32" s="7"/>
      <c r="N32" s="11" t="s">
        <v>417</v>
      </c>
      <c r="O32" s="7"/>
    </row>
    <row r="33" spans="1:15">
      <c r="A33">
        <v>70</v>
      </c>
      <c r="B33">
        <v>44</v>
      </c>
      <c r="C33" t="s">
        <v>264</v>
      </c>
      <c r="D33" t="s">
        <v>265</v>
      </c>
      <c r="E33" s="5">
        <v>32</v>
      </c>
      <c r="F33" s="5" t="s">
        <v>266</v>
      </c>
      <c r="G33" s="5" t="s">
        <v>20</v>
      </c>
      <c r="H33" s="5" t="s">
        <v>21</v>
      </c>
      <c r="I33" s="5" t="s">
        <v>266</v>
      </c>
      <c r="J33" s="5" t="s">
        <v>377</v>
      </c>
      <c r="K33" s="5" t="s">
        <v>378</v>
      </c>
      <c r="M33" s="7" t="s">
        <v>378</v>
      </c>
      <c r="N33" s="7" t="s">
        <v>379</v>
      </c>
      <c r="O33" s="7"/>
    </row>
    <row r="34" spans="1:15">
      <c r="A34">
        <v>71</v>
      </c>
      <c r="B34">
        <v>45</v>
      </c>
      <c r="C34" t="s">
        <v>267</v>
      </c>
      <c r="D34" t="s">
        <v>268</v>
      </c>
      <c r="E34" s="5">
        <v>33</v>
      </c>
      <c r="F34" s="5" t="s">
        <v>269</v>
      </c>
      <c r="G34" s="5" t="s">
        <v>20</v>
      </c>
      <c r="H34" s="5" t="s">
        <v>21</v>
      </c>
      <c r="I34" s="5" t="s">
        <v>269</v>
      </c>
      <c r="J34" s="5" t="s">
        <v>270</v>
      </c>
      <c r="K34" s="5" t="s">
        <v>271</v>
      </c>
      <c r="M34" s="7" t="s">
        <v>271</v>
      </c>
      <c r="N34" s="7" t="s">
        <v>379</v>
      </c>
      <c r="O34" s="7"/>
    </row>
    <row r="35" spans="1:15">
      <c r="A35">
        <v>72</v>
      </c>
      <c r="B35">
        <v>46</v>
      </c>
      <c r="C35" t="s">
        <v>272</v>
      </c>
      <c r="D35" t="s">
        <v>273</v>
      </c>
      <c r="E35" s="5">
        <v>34</v>
      </c>
      <c r="F35" s="5" t="s">
        <v>274</v>
      </c>
      <c r="G35" s="5" t="s">
        <v>20</v>
      </c>
      <c r="H35" s="5" t="s">
        <v>21</v>
      </c>
      <c r="I35" s="5" t="s">
        <v>275</v>
      </c>
      <c r="J35" s="5" t="s">
        <v>276</v>
      </c>
      <c r="K35" s="5" t="s">
        <v>17</v>
      </c>
      <c r="M35" s="7" t="s">
        <v>372</v>
      </c>
      <c r="N35" s="7"/>
      <c r="O35" s="7" t="s">
        <v>412</v>
      </c>
    </row>
    <row r="36" spans="1:15">
      <c r="A36">
        <v>74</v>
      </c>
      <c r="B36">
        <v>47</v>
      </c>
      <c r="C36" t="s">
        <v>279</v>
      </c>
      <c r="D36" t="s">
        <v>280</v>
      </c>
      <c r="E36" s="5">
        <v>35</v>
      </c>
      <c r="F36" s="5" t="s">
        <v>281</v>
      </c>
      <c r="G36" s="5" t="s">
        <v>2</v>
      </c>
      <c r="H36" s="5" t="s">
        <v>17</v>
      </c>
      <c r="I36" s="5" t="s">
        <v>281</v>
      </c>
      <c r="J36" s="5" t="s">
        <v>17</v>
      </c>
      <c r="K36" s="5" t="s">
        <v>17</v>
      </c>
      <c r="M36" s="7" t="s">
        <v>373</v>
      </c>
      <c r="N36" s="7"/>
      <c r="O36" s="7"/>
    </row>
    <row r="37" spans="1:15">
      <c r="A37">
        <v>75</v>
      </c>
      <c r="B37">
        <v>48</v>
      </c>
      <c r="C37" t="s">
        <v>282</v>
      </c>
      <c r="D37" t="s">
        <v>283</v>
      </c>
      <c r="E37" s="5">
        <v>36</v>
      </c>
      <c r="F37" s="5" t="s">
        <v>284</v>
      </c>
      <c r="G37" s="5" t="s">
        <v>2</v>
      </c>
      <c r="H37" s="5" t="s">
        <v>17</v>
      </c>
      <c r="I37" s="5" t="s">
        <v>284</v>
      </c>
      <c r="J37" s="5" t="s">
        <v>17</v>
      </c>
      <c r="K37" s="5" t="s">
        <v>17</v>
      </c>
      <c r="M37" s="8" t="s">
        <v>374</v>
      </c>
      <c r="N37" s="7"/>
      <c r="O37" s="7"/>
    </row>
    <row r="38" spans="1:15">
      <c r="A38">
        <v>76</v>
      </c>
      <c r="B38">
        <v>49</v>
      </c>
      <c r="C38" t="s">
        <v>285</v>
      </c>
      <c r="D38" t="s">
        <v>286</v>
      </c>
      <c r="E38">
        <v>37</v>
      </c>
      <c r="F38" t="s">
        <v>287</v>
      </c>
      <c r="G38" t="s">
        <v>20</v>
      </c>
      <c r="H38" t="s">
        <v>21</v>
      </c>
      <c r="I38" t="s">
        <v>288</v>
      </c>
      <c r="J38" s="2" t="s">
        <v>376</v>
      </c>
      <c r="K38" t="s">
        <v>289</v>
      </c>
      <c r="M38" s="7" t="s">
        <v>375</v>
      </c>
      <c r="N38" s="7"/>
      <c r="O38" s="7" t="s">
        <v>412</v>
      </c>
    </row>
    <row r="39" spans="1:15">
      <c r="A39">
        <v>77</v>
      </c>
      <c r="B39">
        <v>50</v>
      </c>
      <c r="C39" t="s">
        <v>290</v>
      </c>
      <c r="D39" t="s">
        <v>291</v>
      </c>
      <c r="E39">
        <v>38</v>
      </c>
      <c r="F39" t="s">
        <v>292</v>
      </c>
      <c r="G39" t="s">
        <v>20</v>
      </c>
      <c r="H39" t="s">
        <v>21</v>
      </c>
      <c r="I39" t="s">
        <v>293</v>
      </c>
      <c r="J39" t="s">
        <v>294</v>
      </c>
      <c r="K39" t="s">
        <v>17</v>
      </c>
      <c r="M39" s="7"/>
      <c r="N39" s="7"/>
      <c r="O39" s="7" t="s">
        <v>412</v>
      </c>
    </row>
    <row r="40" spans="1:15">
      <c r="A40">
        <v>89</v>
      </c>
      <c r="B40">
        <v>55</v>
      </c>
      <c r="C40" t="s">
        <v>321</v>
      </c>
      <c r="D40" t="s">
        <v>272</v>
      </c>
      <c r="E40">
        <v>39</v>
      </c>
      <c r="F40" t="s">
        <v>324</v>
      </c>
      <c r="G40" t="s">
        <v>20</v>
      </c>
      <c r="H40" t="s">
        <v>21</v>
      </c>
      <c r="I40" t="s">
        <v>325</v>
      </c>
      <c r="J40" t="s">
        <v>326</v>
      </c>
      <c r="K40" t="s">
        <v>327</v>
      </c>
      <c r="M40" s="7"/>
      <c r="N40" s="7"/>
      <c r="O40" s="7" t="s">
        <v>412</v>
      </c>
    </row>
    <row r="41" spans="1:15">
      <c r="A41">
        <v>90</v>
      </c>
      <c r="B41">
        <v>56</v>
      </c>
      <c r="C41" t="s">
        <v>328</v>
      </c>
      <c r="D41" t="s">
        <v>285</v>
      </c>
      <c r="E41">
        <v>40</v>
      </c>
      <c r="F41" t="s">
        <v>329</v>
      </c>
      <c r="G41" t="s">
        <v>20</v>
      </c>
      <c r="H41" t="s">
        <v>21</v>
      </c>
      <c r="I41" t="s">
        <v>330</v>
      </c>
      <c r="J41" t="s">
        <v>331</v>
      </c>
      <c r="K41" t="s">
        <v>332</v>
      </c>
      <c r="M41" s="7" t="s">
        <v>406</v>
      </c>
      <c r="N41" s="7"/>
    </row>
    <row r="42" spans="1:15">
      <c r="A42">
        <v>91</v>
      </c>
      <c r="B42">
        <v>57</v>
      </c>
      <c r="C42" t="s">
        <v>333</v>
      </c>
      <c r="D42" t="s">
        <v>301</v>
      </c>
      <c r="E42">
        <v>41</v>
      </c>
      <c r="F42" t="s">
        <v>334</v>
      </c>
      <c r="G42" t="s">
        <v>20</v>
      </c>
      <c r="H42" t="s">
        <v>21</v>
      </c>
      <c r="I42" t="s">
        <v>334</v>
      </c>
      <c r="J42" t="s">
        <v>335</v>
      </c>
      <c r="K42" t="s">
        <v>332</v>
      </c>
      <c r="M42" s="7"/>
      <c r="N42" s="7"/>
    </row>
    <row r="43" spans="1:15">
      <c r="A43">
        <v>92</v>
      </c>
      <c r="B43">
        <v>58</v>
      </c>
      <c r="C43" t="s">
        <v>336</v>
      </c>
      <c r="D43" t="s">
        <v>310</v>
      </c>
      <c r="E43">
        <v>42</v>
      </c>
      <c r="F43" t="s">
        <v>337</v>
      </c>
      <c r="G43" t="s">
        <v>20</v>
      </c>
      <c r="H43" t="s">
        <v>21</v>
      </c>
      <c r="I43" t="s">
        <v>337</v>
      </c>
      <c r="J43" t="s">
        <v>338</v>
      </c>
      <c r="M43" s="7"/>
      <c r="N43" s="7"/>
    </row>
    <row r="44" spans="1:15">
      <c r="A44">
        <v>93</v>
      </c>
      <c r="B44">
        <v>59</v>
      </c>
      <c r="C44" t="s">
        <v>339</v>
      </c>
      <c r="D44" t="s">
        <v>340</v>
      </c>
      <c r="E44">
        <v>43</v>
      </c>
      <c r="F44" t="s">
        <v>341</v>
      </c>
      <c r="G44" t="s">
        <v>20</v>
      </c>
      <c r="H44" t="s">
        <v>21</v>
      </c>
      <c r="I44" t="s">
        <v>341</v>
      </c>
      <c r="J44" t="s">
        <v>342</v>
      </c>
      <c r="K44" t="s">
        <v>343</v>
      </c>
      <c r="M44" s="7"/>
      <c r="N44" s="7"/>
    </row>
    <row r="45" spans="1:15">
      <c r="A45">
        <v>94</v>
      </c>
      <c r="B45">
        <v>60</v>
      </c>
      <c r="C45" t="s">
        <v>340</v>
      </c>
      <c r="D45" t="s">
        <v>328</v>
      </c>
      <c r="E45">
        <v>44</v>
      </c>
      <c r="F45" t="s">
        <v>344</v>
      </c>
      <c r="G45" t="s">
        <v>345</v>
      </c>
      <c r="H45" t="s">
        <v>346</v>
      </c>
      <c r="I45" t="s">
        <v>344</v>
      </c>
      <c r="J45" t="s">
        <v>17</v>
      </c>
      <c r="K45" t="s">
        <v>17</v>
      </c>
      <c r="M45" s="7" t="s">
        <v>403</v>
      </c>
      <c r="N45" s="7"/>
    </row>
    <row r="46" spans="1:15">
      <c r="A46">
        <v>95</v>
      </c>
      <c r="B46">
        <v>61</v>
      </c>
      <c r="C46" t="s">
        <v>347</v>
      </c>
      <c r="D46" t="s">
        <v>348</v>
      </c>
      <c r="E46">
        <v>45</v>
      </c>
      <c r="F46" t="s">
        <v>349</v>
      </c>
      <c r="G46" t="s">
        <v>20</v>
      </c>
      <c r="H46" t="s">
        <v>21</v>
      </c>
      <c r="I46" t="s">
        <v>349</v>
      </c>
      <c r="J46" t="s">
        <v>350</v>
      </c>
      <c r="K46" t="s">
        <v>17</v>
      </c>
      <c r="M46" s="7" t="s">
        <v>404</v>
      </c>
      <c r="N46" s="7"/>
    </row>
    <row r="47" spans="1:15">
      <c r="A47">
        <v>96</v>
      </c>
      <c r="B47">
        <v>62</v>
      </c>
      <c r="C47" t="s">
        <v>348</v>
      </c>
      <c r="D47" t="s">
        <v>347</v>
      </c>
      <c r="E47">
        <v>46</v>
      </c>
      <c r="F47" t="s">
        <v>351</v>
      </c>
      <c r="G47" t="s">
        <v>20</v>
      </c>
      <c r="H47" t="s">
        <v>21</v>
      </c>
      <c r="I47" t="s">
        <v>351</v>
      </c>
      <c r="J47" t="s">
        <v>352</v>
      </c>
      <c r="K47" t="s">
        <v>17</v>
      </c>
      <c r="M47" s="7" t="s">
        <v>405</v>
      </c>
      <c r="N47" s="7"/>
    </row>
    <row r="48" spans="1:15">
      <c r="A48">
        <v>99</v>
      </c>
      <c r="B48">
        <v>63</v>
      </c>
      <c r="C48" t="s">
        <v>357</v>
      </c>
      <c r="D48" t="s">
        <v>336</v>
      </c>
      <c r="E48">
        <v>47</v>
      </c>
      <c r="F48" t="s">
        <v>358</v>
      </c>
      <c r="G48" t="s">
        <v>2</v>
      </c>
      <c r="H48" t="s">
        <v>17</v>
      </c>
      <c r="I48" t="s">
        <v>358</v>
      </c>
      <c r="J48" t="s">
        <v>17</v>
      </c>
      <c r="K48" t="s">
        <v>17</v>
      </c>
      <c r="M48" s="7" t="s">
        <v>373</v>
      </c>
      <c r="N48" s="7"/>
    </row>
    <row r="49" spans="1:14">
      <c r="A49">
        <v>100</v>
      </c>
      <c r="B49">
        <v>64</v>
      </c>
      <c r="C49" t="s">
        <v>359</v>
      </c>
      <c r="D49" t="s">
        <v>333</v>
      </c>
      <c r="E49">
        <v>48</v>
      </c>
      <c r="F49" t="s">
        <v>360</v>
      </c>
      <c r="G49" t="s">
        <v>2</v>
      </c>
      <c r="H49" t="s">
        <v>17</v>
      </c>
      <c r="I49" t="s">
        <v>360</v>
      </c>
      <c r="J49" t="s">
        <v>17</v>
      </c>
      <c r="K49" t="s">
        <v>17</v>
      </c>
      <c r="M49" s="8" t="s">
        <v>374</v>
      </c>
      <c r="N49" s="7"/>
    </row>
    <row r="50" spans="1:14" hidden="1">
      <c r="A50">
        <v>1</v>
      </c>
      <c r="B50" t="s">
        <v>17</v>
      </c>
      <c r="C50" t="s">
        <v>17</v>
      </c>
      <c r="D50" t="s">
        <v>18</v>
      </c>
      <c r="E50" t="s">
        <v>17</v>
      </c>
      <c r="F50" t="s">
        <v>19</v>
      </c>
      <c r="G50" t="s">
        <v>20</v>
      </c>
      <c r="H50" t="s">
        <v>21</v>
      </c>
      <c r="I50" t="s">
        <v>19</v>
      </c>
      <c r="J50" t="s">
        <v>22</v>
      </c>
      <c r="K50" t="s">
        <v>17</v>
      </c>
    </row>
    <row r="51" spans="1:14" hidden="1">
      <c r="A51">
        <v>2</v>
      </c>
      <c r="B51" t="s">
        <v>17</v>
      </c>
      <c r="C51" t="s">
        <v>17</v>
      </c>
      <c r="D51" t="s">
        <v>23</v>
      </c>
      <c r="E51" t="s">
        <v>17</v>
      </c>
      <c r="F51" t="s">
        <v>24</v>
      </c>
      <c r="G51" t="s">
        <v>20</v>
      </c>
      <c r="H51" t="s">
        <v>21</v>
      </c>
      <c r="I51" t="s">
        <v>24</v>
      </c>
      <c r="J51" t="s">
        <v>25</v>
      </c>
      <c r="K51" t="s">
        <v>17</v>
      </c>
    </row>
    <row r="52" spans="1:14" hidden="1">
      <c r="A52">
        <v>3</v>
      </c>
      <c r="B52" t="s">
        <v>17</v>
      </c>
      <c r="C52" t="s">
        <v>17</v>
      </c>
      <c r="D52" t="s">
        <v>26</v>
      </c>
      <c r="E52" t="s">
        <v>17</v>
      </c>
      <c r="F52" t="s">
        <v>27</v>
      </c>
      <c r="G52" t="s">
        <v>20</v>
      </c>
      <c r="H52" t="s">
        <v>21</v>
      </c>
      <c r="I52" t="s">
        <v>27</v>
      </c>
      <c r="J52" t="s">
        <v>28</v>
      </c>
      <c r="K52" t="s">
        <v>17</v>
      </c>
    </row>
    <row r="53" spans="1:14" hidden="1">
      <c r="A53">
        <v>4</v>
      </c>
      <c r="B53" t="s">
        <v>17</v>
      </c>
      <c r="C53" t="s">
        <v>17</v>
      </c>
      <c r="D53" t="s">
        <v>29</v>
      </c>
      <c r="E53" t="s">
        <v>17</v>
      </c>
      <c r="F53" t="s">
        <v>30</v>
      </c>
      <c r="G53" t="s">
        <v>20</v>
      </c>
      <c r="H53" t="s">
        <v>21</v>
      </c>
      <c r="I53" t="s">
        <v>30</v>
      </c>
      <c r="J53" t="s">
        <v>31</v>
      </c>
      <c r="K53" t="s">
        <v>17</v>
      </c>
    </row>
    <row r="54" spans="1:14" hidden="1">
      <c r="A54">
        <v>5</v>
      </c>
      <c r="B54" t="s">
        <v>17</v>
      </c>
      <c r="C54" t="s">
        <v>17</v>
      </c>
      <c r="D54" t="s">
        <v>32</v>
      </c>
      <c r="E54" t="s">
        <v>17</v>
      </c>
      <c r="F54" t="s">
        <v>33</v>
      </c>
      <c r="G54" t="s">
        <v>20</v>
      </c>
      <c r="H54" t="s">
        <v>21</v>
      </c>
      <c r="I54" t="s">
        <v>34</v>
      </c>
      <c r="J54" t="s">
        <v>35</v>
      </c>
      <c r="K54" t="s">
        <v>36</v>
      </c>
    </row>
    <row r="55" spans="1:14" hidden="1">
      <c r="A55">
        <v>10</v>
      </c>
      <c r="B55" t="s">
        <v>17</v>
      </c>
      <c r="C55" t="s">
        <v>17</v>
      </c>
      <c r="D55" t="s">
        <v>46</v>
      </c>
      <c r="E55" t="s">
        <v>17</v>
      </c>
      <c r="F55" t="s">
        <v>47</v>
      </c>
      <c r="G55" t="s">
        <v>2</v>
      </c>
      <c r="H55" t="s">
        <v>17</v>
      </c>
      <c r="I55" t="s">
        <v>47</v>
      </c>
      <c r="J55" t="s">
        <v>17</v>
      </c>
      <c r="K55" t="s">
        <v>17</v>
      </c>
    </row>
    <row r="56" spans="1:14" hidden="1">
      <c r="A56">
        <v>11</v>
      </c>
      <c r="B56" t="s">
        <v>17</v>
      </c>
      <c r="C56" t="s">
        <v>17</v>
      </c>
      <c r="D56" t="s">
        <v>48</v>
      </c>
      <c r="E56" t="s">
        <v>17</v>
      </c>
      <c r="F56" t="s">
        <v>49</v>
      </c>
      <c r="G56" t="s">
        <v>2</v>
      </c>
      <c r="H56" t="s">
        <v>17</v>
      </c>
      <c r="I56" t="s">
        <v>49</v>
      </c>
      <c r="J56" t="s">
        <v>17</v>
      </c>
      <c r="K56" t="s">
        <v>17</v>
      </c>
    </row>
    <row r="57" spans="1:14" hidden="1">
      <c r="A57">
        <v>15</v>
      </c>
      <c r="B57">
        <v>8</v>
      </c>
      <c r="C57" t="s">
        <v>59</v>
      </c>
      <c r="D57" t="s">
        <v>60</v>
      </c>
      <c r="E57" t="s">
        <v>17</v>
      </c>
      <c r="F57" t="s">
        <v>61</v>
      </c>
      <c r="G57" t="s">
        <v>20</v>
      </c>
      <c r="H57" t="s">
        <v>21</v>
      </c>
      <c r="I57" t="s">
        <v>61</v>
      </c>
      <c r="J57" t="s">
        <v>62</v>
      </c>
      <c r="K57" t="s">
        <v>63</v>
      </c>
    </row>
    <row r="58" spans="1:14" hidden="1">
      <c r="A58">
        <v>16</v>
      </c>
      <c r="B58">
        <v>9</v>
      </c>
      <c r="C58" t="s">
        <v>37</v>
      </c>
      <c r="D58" t="s">
        <v>64</v>
      </c>
      <c r="E58" t="s">
        <v>17</v>
      </c>
      <c r="F58" t="s">
        <v>65</v>
      </c>
      <c r="G58" t="s">
        <v>20</v>
      </c>
      <c r="H58" t="s">
        <v>21</v>
      </c>
      <c r="I58" t="s">
        <v>65</v>
      </c>
      <c r="J58" t="s">
        <v>66</v>
      </c>
      <c r="K58" t="s">
        <v>67</v>
      </c>
    </row>
    <row r="59" spans="1:14" hidden="1">
      <c r="A59">
        <v>17</v>
      </c>
      <c r="B59">
        <v>10</v>
      </c>
      <c r="C59" t="s">
        <v>46</v>
      </c>
      <c r="D59" t="s">
        <v>68</v>
      </c>
      <c r="E59" t="s">
        <v>17</v>
      </c>
      <c r="F59" t="s">
        <v>69</v>
      </c>
      <c r="G59" t="s">
        <v>20</v>
      </c>
      <c r="H59" t="s">
        <v>21</v>
      </c>
      <c r="I59" t="s">
        <v>69</v>
      </c>
      <c r="J59" t="s">
        <v>70</v>
      </c>
      <c r="K59" t="s">
        <v>71</v>
      </c>
    </row>
    <row r="60" spans="1:14" hidden="1">
      <c r="A60">
        <v>18</v>
      </c>
      <c r="B60">
        <v>11</v>
      </c>
      <c r="C60">
        <f>-(6)</f>
        <v>-6</v>
      </c>
      <c r="D60" t="s">
        <v>72</v>
      </c>
      <c r="E60" t="s">
        <v>17</v>
      </c>
      <c r="F60" t="s">
        <v>73</v>
      </c>
      <c r="G60" t="s">
        <v>20</v>
      </c>
      <c r="H60" t="s">
        <v>44</v>
      </c>
      <c r="I60" t="s">
        <v>73</v>
      </c>
      <c r="J60" t="s">
        <v>74</v>
      </c>
      <c r="K60" t="s">
        <v>75</v>
      </c>
    </row>
    <row r="61" spans="1:14" hidden="1">
      <c r="A61">
        <v>20</v>
      </c>
      <c r="B61" t="s">
        <v>17</v>
      </c>
      <c r="C61" t="s">
        <v>17</v>
      </c>
      <c r="D61" t="s">
        <v>78</v>
      </c>
      <c r="E61" t="s">
        <v>17</v>
      </c>
      <c r="F61" t="s">
        <v>79</v>
      </c>
      <c r="G61" t="s">
        <v>2</v>
      </c>
      <c r="H61" t="s">
        <v>17</v>
      </c>
      <c r="I61" t="s">
        <v>79</v>
      </c>
      <c r="J61" t="s">
        <v>17</v>
      </c>
      <c r="K61" t="s">
        <v>17</v>
      </c>
    </row>
    <row r="62" spans="1:14" hidden="1">
      <c r="A62">
        <v>21</v>
      </c>
      <c r="B62" t="s">
        <v>17</v>
      </c>
      <c r="C62" t="s">
        <v>53</v>
      </c>
      <c r="D62" t="s">
        <v>80</v>
      </c>
      <c r="E62" t="s">
        <v>17</v>
      </c>
      <c r="F62" t="s">
        <v>81</v>
      </c>
      <c r="G62" t="s">
        <v>2</v>
      </c>
      <c r="H62" t="s">
        <v>17</v>
      </c>
      <c r="I62" t="s">
        <v>81</v>
      </c>
      <c r="J62" t="s">
        <v>17</v>
      </c>
      <c r="K62" t="s">
        <v>17</v>
      </c>
    </row>
    <row r="63" spans="1:14" hidden="1">
      <c r="A63">
        <v>27</v>
      </c>
      <c r="B63">
        <v>18</v>
      </c>
      <c r="C63" t="s">
        <v>29</v>
      </c>
      <c r="D63" t="s">
        <v>59</v>
      </c>
      <c r="E63" t="s">
        <v>17</v>
      </c>
      <c r="F63" t="s">
        <v>103</v>
      </c>
      <c r="G63" t="s">
        <v>2</v>
      </c>
      <c r="H63" t="s">
        <v>17</v>
      </c>
      <c r="I63" t="s">
        <v>103</v>
      </c>
      <c r="J63" t="s">
        <v>17</v>
      </c>
      <c r="K63" t="s">
        <v>17</v>
      </c>
    </row>
    <row r="64" spans="1:14" hidden="1">
      <c r="A64">
        <v>28</v>
      </c>
      <c r="B64">
        <v>19</v>
      </c>
      <c r="C64" t="s">
        <v>32</v>
      </c>
      <c r="D64" t="s">
        <v>104</v>
      </c>
      <c r="E64" t="s">
        <v>17</v>
      </c>
      <c r="F64" t="s">
        <v>105</v>
      </c>
      <c r="G64" t="s">
        <v>2</v>
      </c>
      <c r="H64" t="s">
        <v>17</v>
      </c>
      <c r="I64" t="s">
        <v>105</v>
      </c>
      <c r="J64" t="s">
        <v>17</v>
      </c>
      <c r="K64" t="s">
        <v>17</v>
      </c>
    </row>
    <row r="65" spans="1:12" hidden="1">
      <c r="A65">
        <v>33</v>
      </c>
      <c r="B65">
        <v>24</v>
      </c>
      <c r="C65" t="s">
        <v>124</v>
      </c>
      <c r="D65" t="s">
        <v>125</v>
      </c>
      <c r="E65" t="s">
        <v>17</v>
      </c>
      <c r="F65" t="s">
        <v>126</v>
      </c>
      <c r="G65" t="s">
        <v>20</v>
      </c>
      <c r="H65" t="s">
        <v>21</v>
      </c>
      <c r="I65" t="s">
        <v>126</v>
      </c>
      <c r="J65" t="s">
        <v>127</v>
      </c>
      <c r="K65" t="s">
        <v>128</v>
      </c>
    </row>
    <row r="66" spans="1:12" hidden="1">
      <c r="A66">
        <v>34</v>
      </c>
      <c r="B66">
        <v>25</v>
      </c>
      <c r="C66" t="s">
        <v>129</v>
      </c>
      <c r="D66" t="s">
        <v>130</v>
      </c>
      <c r="E66" t="s">
        <v>17</v>
      </c>
      <c r="F66" t="s">
        <v>131</v>
      </c>
      <c r="G66" t="s">
        <v>20</v>
      </c>
      <c r="H66" t="s">
        <v>21</v>
      </c>
      <c r="I66" t="s">
        <v>131</v>
      </c>
      <c r="J66" t="s">
        <v>132</v>
      </c>
      <c r="K66" t="s">
        <v>133</v>
      </c>
    </row>
    <row r="67" spans="1:12" hidden="1">
      <c r="A67">
        <v>38</v>
      </c>
      <c r="B67" t="s">
        <v>17</v>
      </c>
      <c r="C67" t="s">
        <v>17</v>
      </c>
      <c r="D67" t="s">
        <v>149</v>
      </c>
      <c r="E67" t="s">
        <v>17</v>
      </c>
      <c r="F67" t="s">
        <v>150</v>
      </c>
      <c r="G67" t="s">
        <v>20</v>
      </c>
      <c r="H67" t="s">
        <v>44</v>
      </c>
      <c r="I67" t="s">
        <v>150</v>
      </c>
      <c r="J67" t="s">
        <v>17</v>
      </c>
      <c r="K67" t="s">
        <v>151</v>
      </c>
    </row>
    <row r="68" spans="1:12" hidden="1">
      <c r="A68">
        <v>39</v>
      </c>
      <c r="B68" t="s">
        <v>17</v>
      </c>
      <c r="C68" t="s">
        <v>17</v>
      </c>
      <c r="D68" t="s">
        <v>152</v>
      </c>
      <c r="E68" t="s">
        <v>17</v>
      </c>
      <c r="F68" t="s">
        <v>153</v>
      </c>
      <c r="G68" t="s">
        <v>20</v>
      </c>
      <c r="H68" t="s">
        <v>44</v>
      </c>
      <c r="I68" t="s">
        <v>153</v>
      </c>
      <c r="J68" t="s">
        <v>17</v>
      </c>
      <c r="K68" t="s">
        <v>154</v>
      </c>
    </row>
    <row r="69" spans="1:12" hidden="1">
      <c r="A69">
        <v>40</v>
      </c>
      <c r="B69" t="s">
        <v>17</v>
      </c>
      <c r="C69" t="s">
        <v>17</v>
      </c>
      <c r="D69" t="s">
        <v>155</v>
      </c>
      <c r="E69" t="s">
        <v>17</v>
      </c>
      <c r="F69" t="s">
        <v>156</v>
      </c>
      <c r="G69" t="s">
        <v>20</v>
      </c>
      <c r="H69" t="s">
        <v>44</v>
      </c>
      <c r="I69" t="s">
        <v>156</v>
      </c>
      <c r="J69" t="s">
        <v>157</v>
      </c>
      <c r="K69" t="s">
        <v>158</v>
      </c>
    </row>
    <row r="70" spans="1:12" hidden="1">
      <c r="A70">
        <v>41</v>
      </c>
      <c r="B70" t="s">
        <v>17</v>
      </c>
      <c r="C70" t="s">
        <v>17</v>
      </c>
      <c r="D70" t="s">
        <v>159</v>
      </c>
      <c r="E70" t="s">
        <v>17</v>
      </c>
      <c r="F70" t="s">
        <v>160</v>
      </c>
      <c r="G70" t="s">
        <v>20</v>
      </c>
      <c r="H70" t="s">
        <v>44</v>
      </c>
      <c r="I70" t="s">
        <v>160</v>
      </c>
      <c r="J70" t="s">
        <v>161</v>
      </c>
      <c r="K70" t="s">
        <v>162</v>
      </c>
    </row>
    <row r="71" spans="1:12" hidden="1">
      <c r="A71">
        <v>42</v>
      </c>
      <c r="B71" t="s">
        <v>17</v>
      </c>
      <c r="C71" t="s">
        <v>17</v>
      </c>
      <c r="D71" t="s">
        <v>163</v>
      </c>
      <c r="E71" t="s">
        <v>17</v>
      </c>
      <c r="F71" t="s">
        <v>164</v>
      </c>
      <c r="G71" t="s">
        <v>20</v>
      </c>
      <c r="H71" t="s">
        <v>21</v>
      </c>
      <c r="I71" t="s">
        <v>164</v>
      </c>
      <c r="J71" t="s">
        <v>165</v>
      </c>
      <c r="K71" t="s">
        <v>17</v>
      </c>
    </row>
    <row r="72" spans="1:12" hidden="1">
      <c r="A72">
        <v>43</v>
      </c>
      <c r="B72" t="s">
        <v>17</v>
      </c>
      <c r="C72" t="s">
        <v>17</v>
      </c>
      <c r="D72" t="s">
        <v>166</v>
      </c>
      <c r="E72" t="s">
        <v>17</v>
      </c>
      <c r="F72" t="s">
        <v>167</v>
      </c>
      <c r="G72" t="s">
        <v>20</v>
      </c>
      <c r="H72" t="s">
        <v>21</v>
      </c>
      <c r="I72" t="s">
        <v>167</v>
      </c>
      <c r="J72" t="s">
        <v>168</v>
      </c>
      <c r="K72" t="s">
        <v>17</v>
      </c>
    </row>
    <row r="73" spans="1:12" hidden="1">
      <c r="A73">
        <v>44</v>
      </c>
      <c r="B73" t="s">
        <v>17</v>
      </c>
      <c r="C73" t="s">
        <v>17</v>
      </c>
      <c r="D73" t="s">
        <v>169</v>
      </c>
      <c r="E73" t="s">
        <v>17</v>
      </c>
      <c r="F73" t="s">
        <v>170</v>
      </c>
      <c r="G73" t="s">
        <v>20</v>
      </c>
      <c r="H73" t="s">
        <v>21</v>
      </c>
      <c r="I73" t="s">
        <v>170</v>
      </c>
      <c r="J73" t="s">
        <v>171</v>
      </c>
      <c r="K73" t="s">
        <v>17</v>
      </c>
    </row>
    <row r="74" spans="1:12" hidden="1">
      <c r="A74">
        <v>45</v>
      </c>
      <c r="B74" t="s">
        <v>17</v>
      </c>
      <c r="C74" t="s">
        <v>17</v>
      </c>
      <c r="D74" t="s">
        <v>172</v>
      </c>
      <c r="E74" t="s">
        <v>17</v>
      </c>
      <c r="F74" t="s">
        <v>173</v>
      </c>
      <c r="G74" t="s">
        <v>20</v>
      </c>
      <c r="H74" t="s">
        <v>21</v>
      </c>
      <c r="I74" t="s">
        <v>173</v>
      </c>
      <c r="J74" t="s">
        <v>174</v>
      </c>
      <c r="K74" t="s">
        <v>17</v>
      </c>
    </row>
    <row r="75" spans="1:12" hidden="1">
      <c r="A75">
        <v>46</v>
      </c>
      <c r="B75" t="s">
        <v>17</v>
      </c>
      <c r="C75" t="s">
        <v>17</v>
      </c>
      <c r="D75" t="s">
        <v>175</v>
      </c>
      <c r="E75" t="s">
        <v>17</v>
      </c>
      <c r="F75" t="s">
        <v>176</v>
      </c>
      <c r="G75" t="s">
        <v>20</v>
      </c>
      <c r="H75" t="s">
        <v>21</v>
      </c>
      <c r="I75" t="s">
        <v>176</v>
      </c>
      <c r="J75" t="s">
        <v>177</v>
      </c>
      <c r="K75" t="s">
        <v>17</v>
      </c>
    </row>
    <row r="76" spans="1:12" hidden="1">
      <c r="A76">
        <v>55</v>
      </c>
      <c r="B76" t="s">
        <v>17</v>
      </c>
      <c r="C76" t="s">
        <v>17</v>
      </c>
      <c r="D76" t="s">
        <v>212</v>
      </c>
      <c r="E76" t="s">
        <v>17</v>
      </c>
      <c r="F76" t="s">
        <v>213</v>
      </c>
      <c r="G76" t="s">
        <v>20</v>
      </c>
      <c r="H76" t="s">
        <v>21</v>
      </c>
      <c r="I76" t="s">
        <v>213</v>
      </c>
      <c r="J76" t="s">
        <v>214</v>
      </c>
      <c r="K76" t="s">
        <v>17</v>
      </c>
    </row>
    <row r="77" spans="1:12" hidden="1">
      <c r="A77">
        <v>56</v>
      </c>
      <c r="B77" t="s">
        <v>17</v>
      </c>
      <c r="C77" t="s">
        <v>17</v>
      </c>
      <c r="D77" t="s">
        <v>215</v>
      </c>
      <c r="E77" t="s">
        <v>17</v>
      </c>
      <c r="F77" t="s">
        <v>216</v>
      </c>
      <c r="G77" t="s">
        <v>20</v>
      </c>
      <c r="H77" t="s">
        <v>21</v>
      </c>
      <c r="I77" t="s">
        <v>216</v>
      </c>
      <c r="J77" t="s">
        <v>217</v>
      </c>
      <c r="K77" t="s">
        <v>17</v>
      </c>
      <c r="L77" t="s">
        <v>17</v>
      </c>
    </row>
    <row r="78" spans="1:12" hidden="1">
      <c r="A78">
        <v>57</v>
      </c>
      <c r="B78" t="s">
        <v>17</v>
      </c>
      <c r="C78" t="s">
        <v>17</v>
      </c>
      <c r="D78" t="s">
        <v>218</v>
      </c>
      <c r="E78" t="s">
        <v>17</v>
      </c>
      <c r="F78" t="s">
        <v>219</v>
      </c>
      <c r="G78" t="s">
        <v>20</v>
      </c>
      <c r="H78" t="s">
        <v>21</v>
      </c>
      <c r="I78" t="s">
        <v>219</v>
      </c>
      <c r="J78" t="s">
        <v>220</v>
      </c>
      <c r="K78" t="s">
        <v>17</v>
      </c>
    </row>
    <row r="79" spans="1:12" hidden="1">
      <c r="A79">
        <v>58</v>
      </c>
      <c r="B79" t="s">
        <v>17</v>
      </c>
      <c r="C79" t="s">
        <v>17</v>
      </c>
      <c r="D79" t="s">
        <v>221</v>
      </c>
      <c r="E79" t="s">
        <v>17</v>
      </c>
      <c r="F79" t="s">
        <v>222</v>
      </c>
      <c r="G79" t="s">
        <v>20</v>
      </c>
      <c r="H79" t="s">
        <v>21</v>
      </c>
      <c r="I79" t="s">
        <v>222</v>
      </c>
      <c r="J79" t="s">
        <v>223</v>
      </c>
      <c r="K79" t="s">
        <v>17</v>
      </c>
    </row>
    <row r="80" spans="1:12" hidden="1">
      <c r="A80">
        <v>59</v>
      </c>
      <c r="B80" t="s">
        <v>17</v>
      </c>
      <c r="C80" t="s">
        <v>17</v>
      </c>
      <c r="D80" t="s">
        <v>224</v>
      </c>
      <c r="E80" t="s">
        <v>17</v>
      </c>
      <c r="F80" t="s">
        <v>225</v>
      </c>
      <c r="G80" t="s">
        <v>20</v>
      </c>
      <c r="H80" t="s">
        <v>21</v>
      </c>
      <c r="I80" t="s">
        <v>225</v>
      </c>
      <c r="J80" t="s">
        <v>226</v>
      </c>
      <c r="K80" t="s">
        <v>17</v>
      </c>
    </row>
    <row r="81" spans="1:11" hidden="1">
      <c r="A81">
        <v>60</v>
      </c>
      <c r="B81" t="s">
        <v>17</v>
      </c>
      <c r="C81" t="s">
        <v>17</v>
      </c>
      <c r="D81" t="s">
        <v>227</v>
      </c>
      <c r="E81" t="s">
        <v>17</v>
      </c>
      <c r="F81" t="s">
        <v>228</v>
      </c>
      <c r="G81" t="s">
        <v>20</v>
      </c>
      <c r="H81" t="s">
        <v>21</v>
      </c>
      <c r="I81" t="s">
        <v>228</v>
      </c>
      <c r="J81" t="s">
        <v>229</v>
      </c>
      <c r="K81" t="s">
        <v>17</v>
      </c>
    </row>
    <row r="82" spans="1:11" hidden="1">
      <c r="A82">
        <v>61</v>
      </c>
      <c r="B82" t="s">
        <v>17</v>
      </c>
      <c r="C82" t="s">
        <v>17</v>
      </c>
      <c r="D82" t="s">
        <v>230</v>
      </c>
      <c r="E82" t="s">
        <v>17</v>
      </c>
      <c r="F82" t="s">
        <v>231</v>
      </c>
      <c r="G82" t="s">
        <v>20</v>
      </c>
      <c r="H82" t="s">
        <v>21</v>
      </c>
      <c r="I82" t="s">
        <v>231</v>
      </c>
      <c r="J82" t="s">
        <v>232</v>
      </c>
      <c r="K82" t="s">
        <v>17</v>
      </c>
    </row>
    <row r="83" spans="1:11" hidden="1">
      <c r="A83">
        <v>62</v>
      </c>
      <c r="B83" t="s">
        <v>17</v>
      </c>
      <c r="C83" t="s">
        <v>17</v>
      </c>
      <c r="D83" t="s">
        <v>233</v>
      </c>
      <c r="E83" t="s">
        <v>17</v>
      </c>
      <c r="F83" t="s">
        <v>234</v>
      </c>
      <c r="G83" t="s">
        <v>20</v>
      </c>
      <c r="H83" t="s">
        <v>21</v>
      </c>
      <c r="I83" t="s">
        <v>234</v>
      </c>
      <c r="J83" t="s">
        <v>235</v>
      </c>
      <c r="K83" t="s">
        <v>17</v>
      </c>
    </row>
    <row r="84" spans="1:11" hidden="1">
      <c r="A84">
        <v>63</v>
      </c>
      <c r="B84">
        <v>37</v>
      </c>
      <c r="C84" t="s">
        <v>236</v>
      </c>
      <c r="D84" t="s">
        <v>237</v>
      </c>
      <c r="E84" t="s">
        <v>17</v>
      </c>
      <c r="F84" t="s">
        <v>238</v>
      </c>
      <c r="G84" t="s">
        <v>20</v>
      </c>
      <c r="H84" t="s">
        <v>21</v>
      </c>
      <c r="I84" t="s">
        <v>238</v>
      </c>
      <c r="J84" t="s">
        <v>239</v>
      </c>
      <c r="K84" t="s">
        <v>17</v>
      </c>
    </row>
    <row r="85" spans="1:11" hidden="1">
      <c r="A85">
        <v>64</v>
      </c>
      <c r="B85">
        <v>38</v>
      </c>
      <c r="C85" t="s">
        <v>240</v>
      </c>
      <c r="D85" t="s">
        <v>241</v>
      </c>
      <c r="E85" t="s">
        <v>17</v>
      </c>
      <c r="F85" t="s">
        <v>242</v>
      </c>
      <c r="G85" t="s">
        <v>20</v>
      </c>
      <c r="H85" t="s">
        <v>21</v>
      </c>
      <c r="I85" t="s">
        <v>242</v>
      </c>
      <c r="J85" t="s">
        <v>243</v>
      </c>
      <c r="K85" t="s">
        <v>17</v>
      </c>
    </row>
    <row r="86" spans="1:11" hidden="1">
      <c r="A86">
        <v>65</v>
      </c>
      <c r="B86">
        <v>39</v>
      </c>
      <c r="C86" t="s">
        <v>244</v>
      </c>
      <c r="D86" t="s">
        <v>245</v>
      </c>
      <c r="E86" t="s">
        <v>17</v>
      </c>
      <c r="F86" t="s">
        <v>246</v>
      </c>
      <c r="G86" t="s">
        <v>20</v>
      </c>
      <c r="H86" t="s">
        <v>21</v>
      </c>
      <c r="I86" t="s">
        <v>246</v>
      </c>
      <c r="J86" t="s">
        <v>247</v>
      </c>
      <c r="K86" t="s">
        <v>17</v>
      </c>
    </row>
    <row r="87" spans="1:11" hidden="1">
      <c r="A87">
        <v>66</v>
      </c>
      <c r="B87">
        <v>40</v>
      </c>
      <c r="C87" t="s">
        <v>248</v>
      </c>
      <c r="D87" t="s">
        <v>249</v>
      </c>
      <c r="E87" t="s">
        <v>17</v>
      </c>
      <c r="F87" t="s">
        <v>250</v>
      </c>
      <c r="G87" t="s">
        <v>20</v>
      </c>
      <c r="H87" t="s">
        <v>21</v>
      </c>
      <c r="I87" t="s">
        <v>250</v>
      </c>
      <c r="J87" t="s">
        <v>251</v>
      </c>
      <c r="K87" t="s">
        <v>17</v>
      </c>
    </row>
    <row r="88" spans="1:11" hidden="1">
      <c r="A88">
        <v>73</v>
      </c>
      <c r="B88" t="s">
        <v>17</v>
      </c>
      <c r="C88" t="s">
        <v>17</v>
      </c>
      <c r="D88" t="s">
        <v>277</v>
      </c>
      <c r="E88" t="s">
        <v>17</v>
      </c>
      <c r="F88" t="s">
        <v>278</v>
      </c>
      <c r="G88" t="s">
        <v>20</v>
      </c>
      <c r="H88" t="s">
        <v>21</v>
      </c>
      <c r="I88" t="s">
        <v>278</v>
      </c>
      <c r="J88" t="s">
        <v>17</v>
      </c>
      <c r="K88" t="s">
        <v>17</v>
      </c>
    </row>
    <row r="89" spans="1:11" hidden="1">
      <c r="A89">
        <v>78</v>
      </c>
      <c r="B89">
        <v>51</v>
      </c>
      <c r="C89" t="s">
        <v>295</v>
      </c>
      <c r="D89" t="s">
        <v>296</v>
      </c>
      <c r="E89" t="s">
        <v>17</v>
      </c>
      <c r="F89" t="s">
        <v>297</v>
      </c>
      <c r="G89" t="s">
        <v>20</v>
      </c>
      <c r="H89" t="s">
        <v>21</v>
      </c>
      <c r="I89" t="s">
        <v>297</v>
      </c>
      <c r="J89" t="s">
        <v>362</v>
      </c>
      <c r="K89" t="s">
        <v>17</v>
      </c>
    </row>
    <row r="90" spans="1:11" hidden="1">
      <c r="A90">
        <v>79</v>
      </c>
      <c r="B90">
        <v>52</v>
      </c>
      <c r="C90" t="s">
        <v>298</v>
      </c>
      <c r="D90" t="s">
        <v>299</v>
      </c>
      <c r="E90" t="s">
        <v>17</v>
      </c>
      <c r="F90" t="s">
        <v>300</v>
      </c>
      <c r="G90" t="s">
        <v>20</v>
      </c>
      <c r="H90" t="s">
        <v>21</v>
      </c>
      <c r="I90" t="s">
        <v>300</v>
      </c>
      <c r="J90" t="s">
        <v>363</v>
      </c>
      <c r="K90" t="s">
        <v>17</v>
      </c>
    </row>
    <row r="91" spans="1:11" hidden="1">
      <c r="A91">
        <v>80</v>
      </c>
      <c r="B91">
        <v>53</v>
      </c>
      <c r="C91" t="s">
        <v>301</v>
      </c>
      <c r="D91" t="s">
        <v>302</v>
      </c>
      <c r="E91" t="s">
        <v>17</v>
      </c>
      <c r="F91" t="s">
        <v>303</v>
      </c>
      <c r="G91" t="s">
        <v>20</v>
      </c>
      <c r="H91" t="s">
        <v>21</v>
      </c>
      <c r="I91" t="s">
        <v>303</v>
      </c>
      <c r="J91" t="s">
        <v>364</v>
      </c>
      <c r="K91" t="s">
        <v>17</v>
      </c>
    </row>
    <row r="92" spans="1:11" hidden="1">
      <c r="A92">
        <v>81</v>
      </c>
      <c r="B92" t="s">
        <v>17</v>
      </c>
      <c r="C92" t="s">
        <v>17</v>
      </c>
      <c r="D92" t="s">
        <v>304</v>
      </c>
      <c r="E92" t="s">
        <v>17</v>
      </c>
      <c r="F92" t="s">
        <v>305</v>
      </c>
      <c r="G92" t="s">
        <v>20</v>
      </c>
      <c r="H92" t="s">
        <v>21</v>
      </c>
      <c r="I92" t="s">
        <v>305</v>
      </c>
      <c r="J92" t="s">
        <v>306</v>
      </c>
      <c r="K92" t="s">
        <v>17</v>
      </c>
    </row>
    <row r="93" spans="1:11" hidden="1">
      <c r="A93">
        <v>82</v>
      </c>
      <c r="B93" t="s">
        <v>17</v>
      </c>
      <c r="C93" t="s">
        <v>17</v>
      </c>
      <c r="D93" t="s">
        <v>307</v>
      </c>
      <c r="E93" t="s">
        <v>17</v>
      </c>
      <c r="F93" t="s">
        <v>308</v>
      </c>
      <c r="G93" t="s">
        <v>20</v>
      </c>
      <c r="H93" t="s">
        <v>21</v>
      </c>
      <c r="I93" t="s">
        <v>308</v>
      </c>
      <c r="J93" t="s">
        <v>309</v>
      </c>
      <c r="K93" t="s">
        <v>17</v>
      </c>
    </row>
    <row r="94" spans="1:11" hidden="1">
      <c r="A94">
        <v>83</v>
      </c>
      <c r="B94">
        <v>54</v>
      </c>
      <c r="C94" t="s">
        <v>310</v>
      </c>
      <c r="D94" t="s">
        <v>264</v>
      </c>
      <c r="E94" t="s">
        <v>17</v>
      </c>
      <c r="F94" t="s">
        <v>311</v>
      </c>
      <c r="G94" t="s">
        <v>20</v>
      </c>
      <c r="H94" t="s">
        <v>21</v>
      </c>
      <c r="I94" t="s">
        <v>311</v>
      </c>
      <c r="J94" t="s">
        <v>312</v>
      </c>
      <c r="K94" t="s">
        <v>17</v>
      </c>
    </row>
    <row r="95" spans="1:11" hidden="1">
      <c r="A95">
        <v>84</v>
      </c>
      <c r="B95" t="s">
        <v>17</v>
      </c>
      <c r="C95" t="s">
        <v>17</v>
      </c>
      <c r="D95" t="s">
        <v>267</v>
      </c>
      <c r="E95" t="s">
        <v>17</v>
      </c>
      <c r="F95" t="s">
        <v>313</v>
      </c>
      <c r="G95" t="s">
        <v>20</v>
      </c>
      <c r="H95" t="s">
        <v>21</v>
      </c>
      <c r="I95" t="s">
        <v>313</v>
      </c>
      <c r="J95" t="s">
        <v>314</v>
      </c>
      <c r="K95" t="s">
        <v>17</v>
      </c>
    </row>
    <row r="96" spans="1:11" hidden="1">
      <c r="A96">
        <v>85</v>
      </c>
      <c r="B96" t="s">
        <v>17</v>
      </c>
      <c r="C96" t="s">
        <v>17</v>
      </c>
      <c r="D96" t="s">
        <v>295</v>
      </c>
      <c r="E96" t="s">
        <v>17</v>
      </c>
      <c r="F96" t="s">
        <v>315</v>
      </c>
      <c r="G96" t="s">
        <v>20</v>
      </c>
      <c r="H96" t="s">
        <v>21</v>
      </c>
      <c r="I96" t="s">
        <v>315</v>
      </c>
      <c r="J96" t="s">
        <v>316</v>
      </c>
      <c r="K96" t="s">
        <v>17</v>
      </c>
    </row>
    <row r="97" spans="1:14" hidden="1">
      <c r="A97">
        <v>86</v>
      </c>
      <c r="B97" t="s">
        <v>17</v>
      </c>
      <c r="C97" t="s">
        <v>17</v>
      </c>
      <c r="D97" t="s">
        <v>290</v>
      </c>
      <c r="E97" t="s">
        <v>17</v>
      </c>
      <c r="F97" t="s">
        <v>317</v>
      </c>
      <c r="G97" t="s">
        <v>20</v>
      </c>
      <c r="H97" t="s">
        <v>21</v>
      </c>
      <c r="I97" t="s">
        <v>317</v>
      </c>
      <c r="J97" t="s">
        <v>318</v>
      </c>
      <c r="K97" t="s">
        <v>17</v>
      </c>
    </row>
    <row r="98" spans="1:14" hidden="1">
      <c r="A98">
        <v>87</v>
      </c>
      <c r="B98" t="s">
        <v>17</v>
      </c>
      <c r="C98" t="s">
        <v>17</v>
      </c>
      <c r="D98" t="s">
        <v>298</v>
      </c>
      <c r="E98" t="s">
        <v>17</v>
      </c>
      <c r="F98" t="s">
        <v>319</v>
      </c>
      <c r="G98" t="s">
        <v>20</v>
      </c>
      <c r="H98" t="s">
        <v>21</v>
      </c>
      <c r="I98" t="s">
        <v>319</v>
      </c>
      <c r="J98" t="s">
        <v>320</v>
      </c>
      <c r="K98" t="s">
        <v>17</v>
      </c>
    </row>
    <row r="99" spans="1:14" hidden="1">
      <c r="A99">
        <v>88</v>
      </c>
      <c r="B99" t="s">
        <v>17</v>
      </c>
      <c r="C99" t="s">
        <v>17</v>
      </c>
      <c r="D99" t="s">
        <v>321</v>
      </c>
      <c r="E99" t="s">
        <v>17</v>
      </c>
      <c r="F99" t="s">
        <v>322</v>
      </c>
      <c r="G99" t="s">
        <v>20</v>
      </c>
      <c r="H99" t="s">
        <v>21</v>
      </c>
      <c r="I99" t="s">
        <v>322</v>
      </c>
      <c r="J99" t="s">
        <v>323</v>
      </c>
      <c r="K99" t="s">
        <v>17</v>
      </c>
    </row>
    <row r="100" spans="1:14" hidden="1">
      <c r="A100">
        <v>97</v>
      </c>
      <c r="B100" t="s">
        <v>17</v>
      </c>
      <c r="C100" t="s">
        <v>17</v>
      </c>
      <c r="D100" t="s">
        <v>339</v>
      </c>
      <c r="E100" t="s">
        <v>17</v>
      </c>
      <c r="F100" t="s">
        <v>353</v>
      </c>
      <c r="G100" t="s">
        <v>20</v>
      </c>
      <c r="H100" t="s">
        <v>21</v>
      </c>
      <c r="I100" t="s">
        <v>353</v>
      </c>
      <c r="J100" t="s">
        <v>354</v>
      </c>
      <c r="K100" t="s">
        <v>17</v>
      </c>
    </row>
    <row r="101" spans="1:14" hidden="1">
      <c r="A101">
        <v>98</v>
      </c>
      <c r="B101" t="s">
        <v>17</v>
      </c>
      <c r="C101" t="s">
        <v>17</v>
      </c>
      <c r="D101" t="s">
        <v>40</v>
      </c>
      <c r="E101" t="s">
        <v>17</v>
      </c>
      <c r="F101" t="s">
        <v>355</v>
      </c>
      <c r="G101" t="s">
        <v>20</v>
      </c>
      <c r="H101" t="s">
        <v>21</v>
      </c>
      <c r="I101" t="s">
        <v>355</v>
      </c>
      <c r="J101" t="s">
        <v>356</v>
      </c>
      <c r="K101" t="s">
        <v>17</v>
      </c>
    </row>
    <row r="102" spans="1:14">
      <c r="M102" s="7"/>
      <c r="N102" s="7"/>
    </row>
    <row r="103" spans="1:14">
      <c r="M103" s="7"/>
      <c r="N103" s="7"/>
    </row>
    <row r="104" spans="1:14">
      <c r="M104" s="7"/>
      <c r="N104" s="7"/>
    </row>
    <row r="105" spans="1:14">
      <c r="M105" s="7"/>
      <c r="N105" s="7"/>
    </row>
    <row r="106" spans="1:14">
      <c r="M106" s="7"/>
      <c r="N106" s="7"/>
    </row>
    <row r="107" spans="1:14">
      <c r="M107" s="7"/>
      <c r="N107" s="7"/>
    </row>
    <row r="108" spans="1:14">
      <c r="M108" s="7"/>
      <c r="N108" s="7"/>
    </row>
    <row r="109" spans="1:14">
      <c r="M109" s="7"/>
      <c r="N109" s="7"/>
    </row>
    <row r="110" spans="1:14">
      <c r="M110" s="7"/>
      <c r="N110" s="7"/>
    </row>
    <row r="111" spans="1:14">
      <c r="M111" s="7"/>
      <c r="N111" s="7"/>
    </row>
    <row r="112" spans="1:14">
      <c r="M112" s="7"/>
      <c r="N112" s="11" t="s">
        <v>421</v>
      </c>
    </row>
    <row r="115" spans="14:14">
      <c r="N115" s="3" t="s">
        <v>414</v>
      </c>
    </row>
    <row r="116" spans="14:14">
      <c r="N116" s="3" t="s">
        <v>413</v>
      </c>
    </row>
  </sheetData>
  <autoFilter ref="A1:K101">
    <filterColumn colId="4">
      <customFilters>
        <customFilter operator="notEqual" val="0"/>
      </customFilters>
    </filterColumn>
    <sortState ref="A2:K101">
      <sortCondition ref="E1:E101"/>
    </sortState>
  </autoFilter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B2" sqref="B2"/>
    </sheetView>
  </sheetViews>
  <sheetFormatPr baseColWidth="10" defaultRowHeight="15" x14ac:dyDescent="0"/>
  <cols>
    <col min="2" max="2" width="31.6640625" customWidth="1"/>
  </cols>
  <sheetData>
    <row r="1" spans="1:3">
      <c r="A1" t="s">
        <v>409</v>
      </c>
      <c r="B1" t="s">
        <v>411</v>
      </c>
      <c r="C1" t="s">
        <v>410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Pins</vt:lpstr>
      <vt:lpstr>BOM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2015-04-10T16:18:16Z</dcterms:created>
  <dcterms:modified xsi:type="dcterms:W3CDTF">2015-04-22T15:40:52Z</dcterms:modified>
</cp:coreProperties>
</file>